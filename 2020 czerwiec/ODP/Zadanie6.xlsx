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rdj\Desktop\"/>
    </mc:Choice>
  </mc:AlternateContent>
  <xr:revisionPtr revIDLastSave="0" documentId="13_ncr:1_{E82A5819-ABA6-46F8-9C0E-F2F819576C14}" xr6:coauthVersionLast="47" xr6:coauthVersionMax="47" xr10:uidLastSave="{00000000-0000-0000-0000-000000000000}"/>
  <bookViews>
    <workbookView xWindow="-108" yWindow="-108" windowWidth="23256" windowHeight="12576" activeTab="4" xr2:uid="{3BDFC36A-AE85-46A8-9A97-47CB5E62E431}"/>
  </bookViews>
  <sheets>
    <sheet name="Podpunkt1" sheetId="1" r:id="rId1"/>
    <sheet name="Podpunkt2" sheetId="2" r:id="rId2"/>
    <sheet name="Podpunkt3" sheetId="3" r:id="rId3"/>
    <sheet name="Podpunkt4" sheetId="4" r:id="rId4"/>
    <sheet name="Podpunkt5" sheetId="5" r:id="rId5"/>
  </sheets>
  <definedNames>
    <definedName name="_xlnm._FilterDatabase" localSheetId="2" hidden="1">Podpunkt3!$A$1:$A$203</definedName>
    <definedName name="statek" localSheetId="0">Podpunkt1!$A$1:$F$203</definedName>
    <definedName name="statek" localSheetId="1">Podpunkt2!$A$1:$F$203</definedName>
    <definedName name="statek" localSheetId="2">Podpunkt3!$A$1:$F$203</definedName>
    <definedName name="statek" localSheetId="3">Podpunkt4!$A$1:$F$203</definedName>
    <definedName name="statek" localSheetId="4">Podpunkt5!$A$1:$F$203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/>
  <c r="J2" i="5" s="1"/>
  <c r="I4" i="5"/>
  <c r="I5" i="5"/>
  <c r="I6" i="5"/>
  <c r="I8" i="5"/>
  <c r="I10" i="5"/>
  <c r="I11" i="5"/>
  <c r="I13" i="5"/>
  <c r="I14" i="5"/>
  <c r="I15" i="5"/>
  <c r="I17" i="5"/>
  <c r="I18" i="5"/>
  <c r="I19" i="5"/>
  <c r="I21" i="5"/>
  <c r="I22" i="5"/>
  <c r="I24" i="5"/>
  <c r="I25" i="5"/>
  <c r="I27" i="5"/>
  <c r="I29" i="5"/>
  <c r="I30" i="5"/>
  <c r="I31" i="5"/>
  <c r="I33" i="5"/>
  <c r="I34" i="5"/>
  <c r="I35" i="5"/>
  <c r="I36" i="5"/>
  <c r="I38" i="5"/>
  <c r="I39" i="5"/>
  <c r="I40" i="5"/>
  <c r="I42" i="5"/>
  <c r="I44" i="5"/>
  <c r="I45" i="5"/>
  <c r="I47" i="5"/>
  <c r="I48" i="5"/>
  <c r="I49" i="5"/>
  <c r="I50" i="5"/>
  <c r="I52" i="5"/>
  <c r="I53" i="5"/>
  <c r="I54" i="5"/>
  <c r="I55" i="5"/>
  <c r="I57" i="5"/>
  <c r="I58" i="5"/>
  <c r="I60" i="5"/>
  <c r="I61" i="5"/>
  <c r="I63" i="5"/>
  <c r="I64" i="5"/>
  <c r="I65" i="5"/>
  <c r="I67" i="5"/>
  <c r="I68" i="5"/>
  <c r="I70" i="5"/>
  <c r="I71" i="5"/>
  <c r="I72" i="5"/>
  <c r="I73" i="5"/>
  <c r="I75" i="5"/>
  <c r="I76" i="5"/>
  <c r="I78" i="5"/>
  <c r="I80" i="5"/>
  <c r="I81" i="5"/>
  <c r="I82" i="5"/>
  <c r="I84" i="5"/>
  <c r="I85" i="5"/>
  <c r="I87" i="5"/>
  <c r="I88" i="5"/>
  <c r="I89" i="5"/>
  <c r="I90" i="5"/>
  <c r="I92" i="5"/>
  <c r="I93" i="5"/>
  <c r="I94" i="5"/>
  <c r="I95" i="5"/>
  <c r="I97" i="5"/>
  <c r="I98" i="5"/>
  <c r="I99" i="5"/>
  <c r="I100" i="5"/>
  <c r="I102" i="5"/>
  <c r="I103" i="5"/>
  <c r="I104" i="5"/>
  <c r="I105" i="5"/>
  <c r="I107" i="5"/>
  <c r="I109" i="5"/>
  <c r="I110" i="5"/>
  <c r="I111" i="5"/>
  <c r="I112" i="5"/>
  <c r="I114" i="5"/>
  <c r="I115" i="5"/>
  <c r="I116" i="5"/>
  <c r="I118" i="5"/>
  <c r="I119" i="5"/>
  <c r="I120" i="5"/>
  <c r="I122" i="5"/>
  <c r="I124" i="5"/>
  <c r="I126" i="5"/>
  <c r="I127" i="5"/>
  <c r="I128" i="5"/>
  <c r="I129" i="5"/>
  <c r="I131" i="5"/>
  <c r="I133" i="5"/>
  <c r="I134" i="5"/>
  <c r="I136" i="5"/>
  <c r="I137" i="5"/>
  <c r="I138" i="5"/>
  <c r="I140" i="5"/>
  <c r="I141" i="5"/>
  <c r="I142" i="5"/>
  <c r="I143" i="5"/>
  <c r="I145" i="5"/>
  <c r="I147" i="5"/>
  <c r="I148" i="5"/>
  <c r="I149" i="5"/>
  <c r="I150" i="5"/>
  <c r="I152" i="5"/>
  <c r="I154" i="5"/>
  <c r="I155" i="5"/>
  <c r="I157" i="5"/>
  <c r="I158" i="5"/>
  <c r="I159" i="5"/>
  <c r="I161" i="5"/>
  <c r="I162" i="5"/>
  <c r="I164" i="5"/>
  <c r="I165" i="5"/>
  <c r="I167" i="5"/>
  <c r="I168" i="5"/>
  <c r="I170" i="5"/>
  <c r="I171" i="5"/>
  <c r="I172" i="5"/>
  <c r="I173" i="5"/>
  <c r="I175" i="5"/>
  <c r="I176" i="5"/>
  <c r="I177" i="5"/>
  <c r="I179" i="5"/>
  <c r="I180" i="5"/>
  <c r="I181" i="5"/>
  <c r="I183" i="5"/>
  <c r="I184" i="5"/>
  <c r="I185" i="5"/>
  <c r="I187" i="5"/>
  <c r="I188" i="5"/>
  <c r="I189" i="5"/>
  <c r="I190" i="5"/>
  <c r="I192" i="5"/>
  <c r="I193" i="5"/>
  <c r="I195" i="5"/>
  <c r="I197" i="5"/>
  <c r="I198" i="5"/>
  <c r="I200" i="5"/>
  <c r="I201" i="5"/>
  <c r="I202" i="5"/>
  <c r="I203" i="5"/>
  <c r="I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" i="5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7" i="2"/>
  <c r="H2" i="2"/>
  <c r="H3" i="5" l="1"/>
  <c r="H4" i="5" l="1"/>
  <c r="J3" i="5"/>
  <c r="H5" i="5" l="1"/>
  <c r="J4" i="5"/>
  <c r="H6" i="5" l="1"/>
  <c r="J5" i="5"/>
  <c r="J6" i="5" l="1"/>
  <c r="H7" i="5"/>
  <c r="I7" i="5"/>
  <c r="H8" i="5" l="1"/>
  <c r="J7" i="5"/>
  <c r="J8" i="5" l="1"/>
  <c r="H9" i="5"/>
  <c r="I9" i="5"/>
  <c r="H10" i="5" l="1"/>
  <c r="J9" i="5"/>
  <c r="H11" i="5" l="1"/>
  <c r="J10" i="5"/>
  <c r="J11" i="5" l="1"/>
  <c r="I12" i="5"/>
  <c r="H12" i="5"/>
  <c r="H13" i="5" l="1"/>
  <c r="J12" i="5"/>
  <c r="H14" i="5" l="1"/>
  <c r="J13" i="5"/>
  <c r="H15" i="5" l="1"/>
  <c r="J14" i="5"/>
  <c r="J15" i="5" l="1"/>
  <c r="I16" i="5"/>
  <c r="H16" i="5"/>
  <c r="H17" i="5" l="1"/>
  <c r="J16" i="5"/>
  <c r="H18" i="5" l="1"/>
  <c r="J17" i="5"/>
  <c r="H19" i="5" l="1"/>
  <c r="J18" i="5"/>
  <c r="J19" i="5" l="1"/>
  <c r="H20" i="5"/>
  <c r="I20" i="5"/>
  <c r="H21" i="5" l="1"/>
  <c r="J20" i="5"/>
  <c r="H22" i="5" l="1"/>
  <c r="J21" i="5"/>
  <c r="J22" i="5" l="1"/>
  <c r="H23" i="5"/>
  <c r="I23" i="5"/>
  <c r="H24" i="5" l="1"/>
  <c r="J23" i="5"/>
  <c r="H25" i="5" l="1"/>
  <c r="J24" i="5"/>
  <c r="J25" i="5" l="1"/>
  <c r="H26" i="5"/>
  <c r="I26" i="5"/>
  <c r="H27" i="5" l="1"/>
  <c r="J26" i="5"/>
  <c r="J27" i="5" l="1"/>
  <c r="H28" i="5"/>
  <c r="I28" i="5"/>
  <c r="H29" i="5" l="1"/>
  <c r="J28" i="5"/>
  <c r="H30" i="5" l="1"/>
  <c r="J29" i="5"/>
  <c r="H31" i="5" l="1"/>
  <c r="J30" i="5"/>
  <c r="J31" i="5" l="1"/>
  <c r="H32" i="5"/>
  <c r="I32" i="5"/>
  <c r="H33" i="5" l="1"/>
  <c r="J32" i="5"/>
  <c r="H34" i="5" l="1"/>
  <c r="J33" i="5"/>
  <c r="H35" i="5" l="1"/>
  <c r="J34" i="5"/>
  <c r="H36" i="5" l="1"/>
  <c r="J35" i="5"/>
  <c r="J36" i="5" l="1"/>
  <c r="H37" i="5"/>
  <c r="I37" i="5"/>
  <c r="H38" i="5" l="1"/>
  <c r="J37" i="5"/>
  <c r="H39" i="5" l="1"/>
  <c r="J38" i="5"/>
  <c r="H40" i="5" l="1"/>
  <c r="J39" i="5"/>
  <c r="J40" i="5" l="1"/>
  <c r="H41" i="5"/>
  <c r="I41" i="5"/>
  <c r="H42" i="5" l="1"/>
  <c r="J41" i="5"/>
  <c r="J42" i="5" l="1"/>
  <c r="I43" i="5"/>
  <c r="H43" i="5"/>
  <c r="H44" i="5" l="1"/>
  <c r="J43" i="5"/>
  <c r="H45" i="5" l="1"/>
  <c r="J44" i="5"/>
  <c r="J45" i="5" l="1"/>
  <c r="H46" i="5"/>
  <c r="I46" i="5"/>
  <c r="H47" i="5" l="1"/>
  <c r="J46" i="5"/>
  <c r="H48" i="5" l="1"/>
  <c r="J47" i="5"/>
  <c r="H49" i="5" l="1"/>
  <c r="J48" i="5"/>
  <c r="H50" i="5" l="1"/>
  <c r="J49" i="5"/>
  <c r="J50" i="5" l="1"/>
  <c r="I51" i="5"/>
  <c r="H51" i="5"/>
  <c r="H52" i="5" l="1"/>
  <c r="J51" i="5"/>
  <c r="H53" i="5" l="1"/>
  <c r="J52" i="5"/>
  <c r="H54" i="5" l="1"/>
  <c r="J53" i="5"/>
  <c r="H55" i="5" l="1"/>
  <c r="J54" i="5"/>
  <c r="J55" i="5" l="1"/>
  <c r="H56" i="5"/>
  <c r="I56" i="5"/>
  <c r="H57" i="5" l="1"/>
  <c r="J56" i="5"/>
  <c r="H58" i="5" l="1"/>
  <c r="J57" i="5"/>
  <c r="J58" i="5" l="1"/>
  <c r="H59" i="5"/>
  <c r="I59" i="5"/>
  <c r="H60" i="5" l="1"/>
  <c r="J59" i="5"/>
  <c r="H61" i="5" l="1"/>
  <c r="J60" i="5"/>
  <c r="J61" i="5" l="1"/>
  <c r="H62" i="5"/>
  <c r="I62" i="5"/>
  <c r="H63" i="5" l="1"/>
  <c r="J62" i="5"/>
  <c r="H64" i="5" l="1"/>
  <c r="J63" i="5"/>
  <c r="H65" i="5" l="1"/>
  <c r="J64" i="5"/>
  <c r="J65" i="5" l="1"/>
  <c r="I66" i="5"/>
  <c r="H66" i="5"/>
  <c r="H67" i="5" l="1"/>
  <c r="J66" i="5"/>
  <c r="H68" i="5" l="1"/>
  <c r="J67" i="5"/>
  <c r="J68" i="5" l="1"/>
  <c r="I69" i="5"/>
  <c r="H69" i="5"/>
  <c r="H70" i="5" l="1"/>
  <c r="J69" i="5"/>
  <c r="H71" i="5" l="1"/>
  <c r="J70" i="5"/>
  <c r="H72" i="5" l="1"/>
  <c r="J71" i="5"/>
  <c r="H73" i="5" l="1"/>
  <c r="J72" i="5"/>
  <c r="J73" i="5" l="1"/>
  <c r="H74" i="5"/>
  <c r="I74" i="5"/>
  <c r="H75" i="5" l="1"/>
  <c r="J74" i="5"/>
  <c r="H76" i="5" l="1"/>
  <c r="J75" i="5"/>
  <c r="J76" i="5" l="1"/>
  <c r="I77" i="5"/>
  <c r="H77" i="5"/>
  <c r="H78" i="5" l="1"/>
  <c r="J77" i="5"/>
  <c r="J78" i="5" l="1"/>
  <c r="I79" i="5"/>
  <c r="H79" i="5"/>
  <c r="H80" i="5" l="1"/>
  <c r="J79" i="5"/>
  <c r="H81" i="5" l="1"/>
  <c r="J80" i="5"/>
  <c r="H82" i="5" l="1"/>
  <c r="J81" i="5"/>
  <c r="J82" i="5" l="1"/>
  <c r="I83" i="5"/>
  <c r="H83" i="5"/>
  <c r="H84" i="5" l="1"/>
  <c r="J83" i="5"/>
  <c r="H85" i="5" l="1"/>
  <c r="J84" i="5"/>
  <c r="J85" i="5" l="1"/>
  <c r="I86" i="5"/>
  <c r="H86" i="5"/>
  <c r="H87" i="5" l="1"/>
  <c r="J86" i="5"/>
  <c r="H88" i="5" l="1"/>
  <c r="J87" i="5"/>
  <c r="H89" i="5" l="1"/>
  <c r="J88" i="5"/>
  <c r="H90" i="5" l="1"/>
  <c r="J89" i="5"/>
  <c r="J90" i="5" l="1"/>
  <c r="H91" i="5"/>
  <c r="I91" i="5"/>
  <c r="H92" i="5" l="1"/>
  <c r="J91" i="5"/>
  <c r="H93" i="5" l="1"/>
  <c r="J92" i="5"/>
  <c r="H94" i="5" l="1"/>
  <c r="J93" i="5"/>
  <c r="H95" i="5" l="1"/>
  <c r="J94" i="5"/>
  <c r="J95" i="5" l="1"/>
  <c r="H96" i="5"/>
  <c r="I96" i="5"/>
  <c r="H97" i="5" l="1"/>
  <c r="J96" i="5"/>
  <c r="H98" i="5" l="1"/>
  <c r="J97" i="5"/>
  <c r="H99" i="5" l="1"/>
  <c r="J98" i="5"/>
  <c r="H100" i="5" l="1"/>
  <c r="J99" i="5"/>
  <c r="J100" i="5" l="1"/>
  <c r="I101" i="5"/>
  <c r="H101" i="5"/>
  <c r="H102" i="5" l="1"/>
  <c r="J101" i="5"/>
  <c r="H103" i="5" l="1"/>
  <c r="J102" i="5"/>
  <c r="H104" i="5" l="1"/>
  <c r="J103" i="5"/>
  <c r="H105" i="5" l="1"/>
  <c r="J104" i="5"/>
  <c r="J105" i="5" l="1"/>
  <c r="H106" i="5"/>
  <c r="I106" i="5"/>
  <c r="H107" i="5" l="1"/>
  <c r="J106" i="5"/>
  <c r="J107" i="5" l="1"/>
  <c r="H108" i="5"/>
  <c r="I108" i="5"/>
  <c r="H109" i="5" l="1"/>
  <c r="J108" i="5"/>
  <c r="H110" i="5" l="1"/>
  <c r="J109" i="5"/>
  <c r="H111" i="5" l="1"/>
  <c r="J110" i="5"/>
  <c r="H112" i="5" l="1"/>
  <c r="J111" i="5"/>
  <c r="J112" i="5" l="1"/>
  <c r="I113" i="5"/>
  <c r="H113" i="5"/>
  <c r="H114" i="5" l="1"/>
  <c r="J113" i="5"/>
  <c r="H115" i="5" l="1"/>
  <c r="J114" i="5"/>
  <c r="H116" i="5" l="1"/>
  <c r="J115" i="5"/>
  <c r="J116" i="5" l="1"/>
  <c r="I117" i="5"/>
  <c r="H117" i="5"/>
  <c r="H118" i="5" l="1"/>
  <c r="J117" i="5"/>
  <c r="H119" i="5" l="1"/>
  <c r="J118" i="5"/>
  <c r="H120" i="5" l="1"/>
  <c r="J119" i="5"/>
  <c r="J120" i="5" l="1"/>
  <c r="I121" i="5"/>
  <c r="H121" i="5"/>
  <c r="H122" i="5" l="1"/>
  <c r="J121" i="5"/>
  <c r="J122" i="5" l="1"/>
  <c r="I123" i="5"/>
  <c r="H123" i="5"/>
  <c r="H124" i="5" l="1"/>
  <c r="J123" i="5"/>
  <c r="J124" i="5" l="1"/>
  <c r="I125" i="5"/>
  <c r="H125" i="5"/>
  <c r="H126" i="5" l="1"/>
  <c r="J125" i="5"/>
  <c r="H127" i="5" l="1"/>
  <c r="J126" i="5"/>
  <c r="H128" i="5" l="1"/>
  <c r="J127" i="5"/>
  <c r="H129" i="5" l="1"/>
  <c r="J128" i="5"/>
  <c r="J129" i="5" l="1"/>
  <c r="H130" i="5"/>
  <c r="I130" i="5"/>
  <c r="H131" i="5" l="1"/>
  <c r="J130" i="5"/>
  <c r="J131" i="5" l="1"/>
  <c r="H132" i="5"/>
  <c r="I132" i="5"/>
  <c r="H133" i="5" l="1"/>
  <c r="J132" i="5"/>
  <c r="H134" i="5" l="1"/>
  <c r="J133" i="5"/>
  <c r="J134" i="5" l="1"/>
  <c r="H135" i="5"/>
  <c r="I135" i="5"/>
  <c r="H136" i="5" l="1"/>
  <c r="J135" i="5"/>
  <c r="H137" i="5" l="1"/>
  <c r="J136" i="5"/>
  <c r="H138" i="5" l="1"/>
  <c r="J137" i="5"/>
  <c r="J138" i="5" l="1"/>
  <c r="H139" i="5"/>
  <c r="I139" i="5"/>
  <c r="H140" i="5" l="1"/>
  <c r="J139" i="5"/>
  <c r="H141" i="5" l="1"/>
  <c r="J140" i="5"/>
  <c r="H142" i="5" l="1"/>
  <c r="J141" i="5"/>
  <c r="H143" i="5" l="1"/>
  <c r="J142" i="5"/>
  <c r="J143" i="5" l="1"/>
  <c r="H144" i="5"/>
  <c r="I144" i="5"/>
  <c r="H145" i="5" l="1"/>
  <c r="J144" i="5"/>
  <c r="J145" i="5" l="1"/>
  <c r="H146" i="5"/>
  <c r="I146" i="5"/>
  <c r="H147" i="5" l="1"/>
  <c r="J146" i="5"/>
  <c r="H148" i="5" l="1"/>
  <c r="J147" i="5"/>
  <c r="H149" i="5" l="1"/>
  <c r="J148" i="5"/>
  <c r="H150" i="5" l="1"/>
  <c r="J149" i="5"/>
  <c r="J150" i="5" l="1"/>
  <c r="H151" i="5"/>
  <c r="I151" i="5"/>
  <c r="H152" i="5" l="1"/>
  <c r="J151" i="5"/>
  <c r="J152" i="5" l="1"/>
  <c r="H153" i="5"/>
  <c r="I153" i="5"/>
  <c r="H154" i="5" l="1"/>
  <c r="J153" i="5"/>
  <c r="H155" i="5" l="1"/>
  <c r="J154" i="5"/>
  <c r="J155" i="5" l="1"/>
  <c r="H156" i="5"/>
  <c r="I156" i="5"/>
  <c r="H157" i="5" l="1"/>
  <c r="J156" i="5"/>
  <c r="H158" i="5" l="1"/>
  <c r="J157" i="5"/>
  <c r="H159" i="5" l="1"/>
  <c r="J158" i="5"/>
  <c r="J159" i="5" l="1"/>
  <c r="I160" i="5"/>
  <c r="H160" i="5"/>
  <c r="H161" i="5" l="1"/>
  <c r="J160" i="5"/>
  <c r="H162" i="5" l="1"/>
  <c r="J161" i="5"/>
  <c r="J162" i="5" l="1"/>
  <c r="H163" i="5"/>
  <c r="I163" i="5"/>
  <c r="H164" i="5" l="1"/>
  <c r="J163" i="5"/>
  <c r="H165" i="5" l="1"/>
  <c r="J164" i="5"/>
  <c r="J165" i="5" l="1"/>
  <c r="H166" i="5"/>
  <c r="I166" i="5"/>
  <c r="H167" i="5" l="1"/>
  <c r="J166" i="5"/>
  <c r="H168" i="5" l="1"/>
  <c r="J167" i="5"/>
  <c r="J168" i="5" l="1"/>
  <c r="I169" i="5"/>
  <c r="H169" i="5"/>
  <c r="H170" i="5" l="1"/>
  <c r="J169" i="5"/>
  <c r="H171" i="5" l="1"/>
  <c r="J170" i="5"/>
  <c r="H172" i="5" l="1"/>
  <c r="J171" i="5"/>
  <c r="H173" i="5" l="1"/>
  <c r="J172" i="5"/>
  <c r="J173" i="5" l="1"/>
  <c r="H174" i="5"/>
  <c r="I174" i="5"/>
  <c r="H175" i="5" l="1"/>
  <c r="J174" i="5"/>
  <c r="H176" i="5" l="1"/>
  <c r="J175" i="5"/>
  <c r="H177" i="5" l="1"/>
  <c r="J176" i="5"/>
  <c r="J177" i="5" l="1"/>
  <c r="H178" i="5"/>
  <c r="I178" i="5"/>
  <c r="H179" i="5" l="1"/>
  <c r="J178" i="5"/>
  <c r="H180" i="5" l="1"/>
  <c r="J179" i="5"/>
  <c r="H181" i="5" l="1"/>
  <c r="J180" i="5"/>
  <c r="J181" i="5" l="1"/>
  <c r="I182" i="5"/>
  <c r="H182" i="5"/>
  <c r="H183" i="5" l="1"/>
  <c r="J182" i="5"/>
  <c r="H184" i="5" l="1"/>
  <c r="J183" i="5"/>
  <c r="H185" i="5" l="1"/>
  <c r="J184" i="5"/>
  <c r="J185" i="5" l="1"/>
  <c r="H186" i="5"/>
  <c r="I186" i="5"/>
  <c r="H187" i="5" l="1"/>
  <c r="J186" i="5"/>
  <c r="H188" i="5" l="1"/>
  <c r="J187" i="5"/>
  <c r="H189" i="5" l="1"/>
  <c r="J188" i="5"/>
  <c r="H190" i="5" l="1"/>
  <c r="J189" i="5"/>
  <c r="J190" i="5" l="1"/>
  <c r="H191" i="5"/>
  <c r="I191" i="5"/>
  <c r="H192" i="5" l="1"/>
  <c r="J191" i="5"/>
  <c r="H193" i="5" l="1"/>
  <c r="J192" i="5"/>
  <c r="J193" i="5" l="1"/>
  <c r="H194" i="5"/>
  <c r="I194" i="5"/>
  <c r="H195" i="5" l="1"/>
  <c r="J194" i="5"/>
  <c r="J195" i="5" l="1"/>
  <c r="H196" i="5"/>
  <c r="I196" i="5"/>
  <c r="H197" i="5" l="1"/>
  <c r="J196" i="5"/>
  <c r="H198" i="5" l="1"/>
  <c r="J197" i="5"/>
  <c r="J198" i="5" l="1"/>
  <c r="H199" i="5"/>
  <c r="I199" i="5"/>
  <c r="H200" i="5" l="1"/>
  <c r="J199" i="5"/>
  <c r="H201" i="5" l="1"/>
  <c r="J200" i="5"/>
  <c r="H202" i="5" l="1"/>
  <c r="J201" i="5"/>
  <c r="H203" i="5" l="1"/>
  <c r="J203" i="5" s="1"/>
  <c r="J20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78F3D-EC75-4D81-B49D-01002EEEB564}" name="statek" type="6" refreshedVersion="8" background="1" saveData="1">
    <textPr codePage="852" sourceFile="C:\Users\lordj\Desktop\Arkusze\Matury\2020 czerwiec\Dane\statek.txt" decimal="," thousands=" ">
      <textFields count="6">
        <textField type="YMD"/>
        <textField/>
        <textField/>
        <textField/>
        <textField/>
        <textField/>
      </textFields>
    </textPr>
  </connection>
  <connection id="2" xr16:uid="{AD029FDC-275C-4108-B10B-BE0E13CDB277}" name="statek1" type="6" refreshedVersion="8" background="1" saveData="1">
    <textPr codePage="852" sourceFile="C:\Users\lordj\Desktop\Arkusze\Matury\2020 czerwiec\Dane\statek.txt" decimal="," thousands=" ">
      <textFields count="6">
        <textField type="YMD"/>
        <textField/>
        <textField/>
        <textField/>
        <textField/>
        <textField/>
      </textFields>
    </textPr>
  </connection>
  <connection id="3" xr16:uid="{E3E941BC-BDB7-419C-AC88-6CF1494139E6}" name="statek11" type="6" refreshedVersion="8" background="1" saveData="1">
    <textPr codePage="852" sourceFile="C:\Users\lordj\Desktop\Arkusze\Matury\2020 czerwiec\Dane\statek.txt" decimal="," thousands=" ">
      <textFields count="6">
        <textField type="YMD"/>
        <textField/>
        <textField/>
        <textField/>
        <textField/>
        <textField/>
      </textFields>
    </textPr>
  </connection>
  <connection id="4" xr16:uid="{B8DA8AA5-85BB-4083-AC01-A1C423BEBE2C}" name="statek111" type="6" refreshedVersion="8" background="1" saveData="1">
    <textPr codePage="852" sourceFile="C:\Users\lordj\Desktop\Arkusze\Matury\2020 czerwiec\Dane\statek.txt" decimal="," thousands=" ">
      <textFields count="6">
        <textField type="YMD"/>
        <textField/>
        <textField/>
        <textField/>
        <textField/>
        <textField/>
      </textFields>
    </textPr>
  </connection>
  <connection id="5" xr16:uid="{66A796B9-4CB6-4587-BCCC-1E6F7F511657}" name="statek1111" type="6" refreshedVersion="8" background="1" saveData="1">
    <textPr codePage="852" sourceFile="C:\Users\lordj\Desktop\Arkusze\Matury\2020 czerwiec\Dane\statek.txt" decimal="," thousands=" ">
      <textFields count="6">
        <textField type="YMD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<sst xmlns="http://schemas.openxmlformats.org/spreadsheetml/2006/main" count="3147" uniqueCount="67">
  <si>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</si>
  <si>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</si>
  <si>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</si>
  <si>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</si>
  <si>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</si>
  <si>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</si>
  <si>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</si>
  <si>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</si>
  <si>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</si>
  <si>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</si>
  <si>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</si>
  <si>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</si>
  <si>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</si>
  <si>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</si>
  <si>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</si>
  <si>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</si>
  <si>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</si>
  <si>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</si>
  <si>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</si>
  <si>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</si>
  <si>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</si>
  <si>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</si>
  <si>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</si>
  <si>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kolumn</t>
  </si>
  <si>
    <t>Suma końcowa</t>
  </si>
  <si>
    <t>Etykiety wierszy</t>
  </si>
  <si>
    <t>Suma z ile ton</t>
  </si>
  <si>
    <t>Liczba z ile ton</t>
  </si>
  <si>
    <t>ODP:</t>
  </si>
  <si>
    <t>Towar T4</t>
  </si>
  <si>
    <t>905 ton</t>
  </si>
  <si>
    <t>Dni na morzu</t>
  </si>
  <si>
    <t>Wiecej dni niż 20</t>
  </si>
  <si>
    <t>Liczba T1</t>
  </si>
  <si>
    <t>Liczba T2</t>
  </si>
  <si>
    <t>Liczba T3</t>
  </si>
  <si>
    <t>Liczba T4</t>
  </si>
  <si>
    <t>Liczba T5</t>
  </si>
  <si>
    <t>min: T4 24 tony</t>
  </si>
  <si>
    <t>max: T5 125 ton</t>
  </si>
  <si>
    <t>max: T2 48 ton</t>
  </si>
  <si>
    <t>min: T1 3 ton</t>
  </si>
  <si>
    <t>2016</t>
  </si>
  <si>
    <t>sty</t>
  </si>
  <si>
    <t>lut</t>
  </si>
  <si>
    <t>mar</t>
  </si>
  <si>
    <t>kwi</t>
  </si>
  <si>
    <t>cze</t>
  </si>
  <si>
    <t>lip</t>
  </si>
  <si>
    <t>sie</t>
  </si>
  <si>
    <t>wrz</t>
  </si>
  <si>
    <t>lis</t>
  </si>
  <si>
    <t>2017</t>
  </si>
  <si>
    <t>maj</t>
  </si>
  <si>
    <t>paź</t>
  </si>
  <si>
    <t>2018</t>
  </si>
  <si>
    <t>gru</t>
  </si>
  <si>
    <t>cena</t>
  </si>
  <si>
    <t>kasa</t>
  </si>
  <si>
    <t>a)</t>
  </si>
  <si>
    <t>545844 talarów</t>
  </si>
  <si>
    <t>kasa ostatniego dnia</t>
  </si>
  <si>
    <t>b)</t>
  </si>
  <si>
    <t>kasa początkowa</t>
  </si>
  <si>
    <t>czy ujemne</t>
  </si>
  <si>
    <t>6399 talarów</t>
  </si>
  <si>
    <t>550079 talarów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</si>
</sst>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2" borderId="0" xfId="0" applyNumberFormat="1" applyFill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[Zadanie6.xlsx]Podpunkt4!Tabela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Wyładunek/załadunek towaru T5</a:t>
            </a:r>
            <a:r>
              <a:rPr lang="pl-PL" baseline="0"/>
              <a:t> w poszczegolnych miesiącach w poszczególnych latach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Podpunkt4!$I$3:$I$4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Podpunkt4!$H$5:$H$38</c:f>
              <c:multiLvlStrCache>
                <c:ptCount val="30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cze</c:v>
                  </c:pt>
                  <c:pt idx="5">
                    <c:v>lip</c:v>
                  </c:pt>
                  <c:pt idx="6">
                    <c:v>sie</c:v>
                  </c:pt>
                  <c:pt idx="7">
                    <c:v>wrz</c:v>
                  </c:pt>
                  <c:pt idx="8">
                    <c:v>lis</c:v>
                  </c:pt>
                  <c:pt idx="9">
                    <c:v>sty</c:v>
                  </c:pt>
                  <c:pt idx="10">
                    <c:v>lut</c:v>
                  </c:pt>
                  <c:pt idx="11">
                    <c:v>mar</c:v>
                  </c:pt>
                  <c:pt idx="12">
                    <c:v>kwi</c:v>
                  </c:pt>
                  <c:pt idx="13">
                    <c:v>maj</c:v>
                  </c:pt>
                  <c:pt idx="14">
                    <c:v>cze</c:v>
                  </c:pt>
                  <c:pt idx="15">
                    <c:v>lip</c:v>
                  </c:pt>
                  <c:pt idx="16">
                    <c:v>sie</c:v>
                  </c:pt>
                  <c:pt idx="17">
                    <c:v>paź</c:v>
                  </c:pt>
                  <c:pt idx="18">
                    <c:v>lis</c:v>
                  </c:pt>
                  <c:pt idx="19">
                    <c:v>sty</c:v>
                  </c:pt>
                  <c:pt idx="20">
                    <c:v>lut</c:v>
                  </c:pt>
                  <c:pt idx="21">
                    <c:v>mar</c:v>
                  </c:pt>
                  <c:pt idx="22">
                    <c:v>kwi</c:v>
                  </c:pt>
                  <c:pt idx="23">
                    <c:v>cze</c:v>
                  </c:pt>
                  <c:pt idx="24">
                    <c:v>lip</c:v>
                  </c:pt>
                  <c:pt idx="25">
                    <c:v>sie</c:v>
                  </c:pt>
                  <c:pt idx="26">
                    <c:v>wrz</c:v>
                  </c:pt>
                  <c:pt idx="27">
                    <c:v>paź</c:v>
                  </c:pt>
                  <c:pt idx="28">
                    <c:v>lis</c:v>
                  </c:pt>
                  <c:pt idx="29">
                    <c:v>gru</c:v>
                  </c:pt>
                </c:lvl>
                <c:lvl>
                  <c:pt idx="0">
                    <c:v>2016</c:v>
                  </c:pt>
                  <c:pt idx="9">
                    <c:v>2017</c:v>
                  </c:pt>
                  <c:pt idx="19">
                    <c:v>2018</c:v>
                  </c:pt>
                </c:lvl>
              </c:multiLvlStrCache>
            </c:multiLvlStrRef>
          </c:cat>
          <c:val>
            <c:numRef>
              <c:f>Podpunkt4!$I$5:$I$38</c:f>
              <c:numCache>
                <c:formatCode>General</c:formatCode>
                <c:ptCount val="30"/>
                <c:pt idx="0">
                  <c:v>32</c:v>
                </c:pt>
                <c:pt idx="2">
                  <c:v>50</c:v>
                </c:pt>
                <c:pt idx="6">
                  <c:v>191</c:v>
                </c:pt>
                <c:pt idx="7">
                  <c:v>4</c:v>
                </c:pt>
                <c:pt idx="9">
                  <c:v>112</c:v>
                </c:pt>
                <c:pt idx="10">
                  <c:v>1</c:v>
                </c:pt>
                <c:pt idx="13">
                  <c:v>68</c:v>
                </c:pt>
                <c:pt idx="16">
                  <c:v>48</c:v>
                </c:pt>
                <c:pt idx="17">
                  <c:v>6</c:v>
                </c:pt>
                <c:pt idx="18">
                  <c:v>1</c:v>
                </c:pt>
                <c:pt idx="19">
                  <c:v>22</c:v>
                </c:pt>
                <c:pt idx="21">
                  <c:v>34</c:v>
                </c:pt>
                <c:pt idx="25">
                  <c:v>121</c:v>
                </c:pt>
                <c:pt idx="26">
                  <c:v>26</c:v>
                </c:pt>
                <c:pt idx="28">
                  <c:v>64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8-49A4-ACCF-30F1A2CD8B9D}"/>
            </c:ext>
          </c:extLst>
        </c:ser>
        <c:ser>
          <c:idx val="1"/>
          <c:order val="1"/>
          <c:tx>
            <c:strRef>
              <c:f>Podpunkt4!$J$3:$J$4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Podpunkt4!$H$5:$H$38</c:f>
              <c:multiLvlStrCache>
                <c:ptCount val="30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cze</c:v>
                  </c:pt>
                  <c:pt idx="5">
                    <c:v>lip</c:v>
                  </c:pt>
                  <c:pt idx="6">
                    <c:v>sie</c:v>
                  </c:pt>
                  <c:pt idx="7">
                    <c:v>wrz</c:v>
                  </c:pt>
                  <c:pt idx="8">
                    <c:v>lis</c:v>
                  </c:pt>
                  <c:pt idx="9">
                    <c:v>sty</c:v>
                  </c:pt>
                  <c:pt idx="10">
                    <c:v>lut</c:v>
                  </c:pt>
                  <c:pt idx="11">
                    <c:v>mar</c:v>
                  </c:pt>
                  <c:pt idx="12">
                    <c:v>kwi</c:v>
                  </c:pt>
                  <c:pt idx="13">
                    <c:v>maj</c:v>
                  </c:pt>
                  <c:pt idx="14">
                    <c:v>cze</c:v>
                  </c:pt>
                  <c:pt idx="15">
                    <c:v>lip</c:v>
                  </c:pt>
                  <c:pt idx="16">
                    <c:v>sie</c:v>
                  </c:pt>
                  <c:pt idx="17">
                    <c:v>paź</c:v>
                  </c:pt>
                  <c:pt idx="18">
                    <c:v>lis</c:v>
                  </c:pt>
                  <c:pt idx="19">
                    <c:v>sty</c:v>
                  </c:pt>
                  <c:pt idx="20">
                    <c:v>lut</c:v>
                  </c:pt>
                  <c:pt idx="21">
                    <c:v>mar</c:v>
                  </c:pt>
                  <c:pt idx="22">
                    <c:v>kwi</c:v>
                  </c:pt>
                  <c:pt idx="23">
                    <c:v>cze</c:v>
                  </c:pt>
                  <c:pt idx="24">
                    <c:v>lip</c:v>
                  </c:pt>
                  <c:pt idx="25">
                    <c:v>sie</c:v>
                  </c:pt>
                  <c:pt idx="26">
                    <c:v>wrz</c:v>
                  </c:pt>
                  <c:pt idx="27">
                    <c:v>paź</c:v>
                  </c:pt>
                  <c:pt idx="28">
                    <c:v>lis</c:v>
                  </c:pt>
                  <c:pt idx="29">
                    <c:v>gru</c:v>
                  </c:pt>
                </c:lvl>
                <c:lvl>
                  <c:pt idx="0">
                    <c:v>2016</c:v>
                  </c:pt>
                  <c:pt idx="9">
                    <c:v>2017</c:v>
                  </c:pt>
                  <c:pt idx="19">
                    <c:v>2018</c:v>
                  </c:pt>
                </c:lvl>
              </c:multiLvlStrCache>
            </c:multiLvlStrRef>
          </c:cat>
          <c:val>
            <c:numRef>
              <c:f>Podpunkt4!$J$5:$J$38</c:f>
              <c:numCache>
                <c:formatCode>General</c:formatCode>
                <c:ptCount val="30"/>
                <c:pt idx="0">
                  <c:v>76</c:v>
                </c:pt>
                <c:pt idx="1">
                  <c:v>8</c:v>
                </c:pt>
                <c:pt idx="3">
                  <c:v>68</c:v>
                </c:pt>
                <c:pt idx="4">
                  <c:v>42</c:v>
                </c:pt>
                <c:pt idx="5">
                  <c:v>83</c:v>
                </c:pt>
                <c:pt idx="7">
                  <c:v>44</c:v>
                </c:pt>
                <c:pt idx="8">
                  <c:v>30</c:v>
                </c:pt>
                <c:pt idx="9">
                  <c:v>39</c:v>
                </c:pt>
                <c:pt idx="11">
                  <c:v>35</c:v>
                </c:pt>
                <c:pt idx="12">
                  <c:v>1</c:v>
                </c:pt>
                <c:pt idx="13">
                  <c:v>33</c:v>
                </c:pt>
                <c:pt idx="14">
                  <c:v>8</c:v>
                </c:pt>
                <c:pt idx="15">
                  <c:v>42</c:v>
                </c:pt>
                <c:pt idx="16">
                  <c:v>4</c:v>
                </c:pt>
                <c:pt idx="18">
                  <c:v>12</c:v>
                </c:pt>
                <c:pt idx="19">
                  <c:v>10</c:v>
                </c:pt>
                <c:pt idx="20">
                  <c:v>34</c:v>
                </c:pt>
                <c:pt idx="22">
                  <c:v>5</c:v>
                </c:pt>
                <c:pt idx="23">
                  <c:v>95</c:v>
                </c:pt>
                <c:pt idx="24">
                  <c:v>25</c:v>
                </c:pt>
                <c:pt idx="25">
                  <c:v>22</c:v>
                </c:pt>
                <c:pt idx="27">
                  <c:v>20</c:v>
                </c:pt>
                <c:pt idx="2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8-49A4-ACCF-30F1A2CD8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165760"/>
        <c:axId val="338160000"/>
      </c:barChart>
      <c:catAx>
        <c:axId val="33816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 i 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8160000"/>
        <c:crosses val="autoZero"/>
        <c:auto val="1"/>
        <c:lblAlgn val="ctr"/>
        <c:lblOffset val="100"/>
        <c:noMultiLvlLbl val="0"/>
      </c:catAx>
      <c:valAx>
        <c:axId val="338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81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335280</xdr:colOff>
      <xdr:row>1</xdr:row>
      <xdr:rowOff>106680</xdr:rowOff>
    </xdr:from>
    <xdr:to>
      <xdr:col>20</xdr:col>
      <xdr:colOff>541020</xdr:colOff>
      <xdr:row>22</xdr:row>
      <xdr:rowOff>167640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6C17723-211A-D4FC-699D-26DCA41E8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5988.743195833333" createdVersion="8" refreshedVersion="8" minRefreshableVersion="3" recordCount="203" xr:uid="{4FE4AC84-84D7-459D-89F4-586357153349}">
  <cacheSource type="worksheet">
    <worksheetSource ref="A1:F1048576" sheet="Podpunkt1"/>
  </cacheSource>
  <cacheFields count="6">
    <cacheField name="data" numFmtId="0">
      <sharedItems containsNonDate="0" containsDate="1" containsString="0" containsBlank="1" minDate="2016-01-01T00:00:00" maxDate="2018-12-19T00:00:00"/>
    </cacheField>
    <cacheField name="port" numFmtId="0">
      <sharedItems containsBlank="1"/>
    </cacheField>
    <cacheField name="towar" numFmtId="0">
      <sharedItems containsBlank="1" count="6">
        <s v="T4"/>
        <s v="T5"/>
        <s v="T1"/>
        <s v="T2"/>
        <s v="T3"/>
        <m/>
      </sharedItems>
    </cacheField>
    <cacheField name="Z/W" numFmtId="0">
      <sharedItems containsBlank="1" count="3">
        <s v="Z"/>
        <s v="W"/>
        <m/>
      </sharedItems>
    </cacheField>
    <cacheField name="ile ton" numFmtId="0">
      <sharedItems containsString="0" containsBlank="1" containsNumber="1" containsInteger="1" minValue="1" maxValue="192" count="68">
        <n v="3"/>
        <n v="32"/>
        <n v="38"/>
        <n v="33"/>
        <n v="43"/>
        <n v="14"/>
        <n v="44"/>
        <n v="1"/>
        <n v="21"/>
        <n v="9"/>
        <n v="8"/>
        <n v="50"/>
        <n v="7"/>
        <n v="10"/>
        <n v="25"/>
        <n v="36"/>
        <n v="5"/>
        <n v="35"/>
        <n v="4"/>
        <n v="42"/>
        <n v="28"/>
        <n v="19"/>
        <n v="72"/>
        <n v="37"/>
        <n v="48"/>
        <n v="191"/>
        <n v="47"/>
        <n v="41"/>
        <n v="45"/>
        <n v="40"/>
        <n v="17"/>
        <n v="2"/>
        <n v="23"/>
        <n v="11"/>
        <n v="30"/>
        <n v="97"/>
        <n v="79"/>
        <n v="26"/>
        <n v="39"/>
        <n v="112"/>
        <n v="34"/>
        <n v="74"/>
        <n v="12"/>
        <n v="15"/>
        <n v="86"/>
        <n v="110"/>
        <n v="13"/>
        <n v="68"/>
        <n v="22"/>
        <n v="116"/>
        <n v="29"/>
        <n v="20"/>
        <n v="24"/>
        <n v="6"/>
        <n v="147"/>
        <n v="134"/>
        <n v="49"/>
        <n v="46"/>
        <n v="16"/>
        <n v="27"/>
        <n v="184"/>
        <n v="192"/>
        <n v="18"/>
        <n v="121"/>
        <n v="61"/>
        <n v="82"/>
        <n v="64"/>
        <m/>
      </sharedItems>
    </cacheField>
    <cacheField name="cena za tone w talarach" numFmtId="0">
      <sharedItems containsString="0" containsBlank="1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5988.756576041669" createdVersion="8" refreshedVersion="8" minRefreshableVersion="3" recordCount="203" xr:uid="{56FA160E-B18A-476E-B422-885BBFA0E57A}">
  <cacheSource type="worksheet">
    <worksheetSource ref="A1:F1048576" sheet="Podpunkt4"/>
  </cacheSource>
  <cacheFields count="9">
    <cacheField name="data" numFmtId="0">
      <sharedItems containsNonDate="0" containsDate="1" containsString="0" containsBlank="1" minDate="2016-01-01T00:00:00" maxDate="2018-12-19T00:00:00" count="57">
        <d v="2016-01-01T00:00:00"/>
        <d v="2016-01-16T00:00:00"/>
        <d v="2016-01-24T00:00:00"/>
        <d v="2016-02-19T00:00:00"/>
        <d v="2016-03-11T00:00:00"/>
        <d v="2016-04-04T00:00:00"/>
        <d v="2016-04-22T00:00:00"/>
        <d v="2016-05-14T00:00:00"/>
        <d v="2016-06-08T00:00:00"/>
        <d v="2016-06-21T00:00:00"/>
        <d v="2016-07-08T00:00:00"/>
        <d v="2016-07-23T00:00:00"/>
        <d v="2016-08-11T00:00:00"/>
        <d v="2016-09-06T00:00:00"/>
        <d v="2016-09-27T00:00:00"/>
        <d v="2016-10-21T00:00:00"/>
        <d v="2016-11-08T00:00:00"/>
        <d v="2016-11-30T00:00:00"/>
        <d v="2016-12-25T00:00:00"/>
        <d v="2017-01-07T00:00:00"/>
        <d v="2017-01-24T00:00:00"/>
        <d v="2017-02-08T00:00:00"/>
        <d v="2017-02-27T00:00:00"/>
        <d v="2017-03-25T00:00:00"/>
        <d v="2017-04-15T00:00:00"/>
        <d v="2017-05-09T00:00:00"/>
        <d v="2017-05-27T00:00:00"/>
        <d v="2017-06-18T00:00:00"/>
        <d v="2017-07-13T00:00:00"/>
        <d v="2017-07-26T00:00:00"/>
        <d v="2017-08-12T00:00:00"/>
        <d v="2017-08-27T00:00:00"/>
        <d v="2017-09-15T00:00:00"/>
        <d v="2017-10-11T00:00:00"/>
        <d v="2017-11-01T00:00:00"/>
        <d v="2017-11-25T00:00:00"/>
        <d v="2017-12-13T00:00:00"/>
        <d v="2018-01-04T00:00:00"/>
        <d v="2018-01-29T00:00:00"/>
        <d v="2018-01-30T00:00:00"/>
        <d v="2018-02-16T00:00:00"/>
        <d v="2018-03-03T00:00:00"/>
        <d v="2018-03-22T00:00:00"/>
        <d v="2018-04-17T00:00:00"/>
        <d v="2018-05-08T00:00:00"/>
        <d v="2018-06-01T00:00:00"/>
        <d v="2018-06-19T00:00:00"/>
        <d v="2018-07-11T00:00:00"/>
        <d v="2018-08-05T00:00:00"/>
        <d v="2018-08-18T00:00:00"/>
        <d v="2018-09-04T00:00:00"/>
        <d v="2018-09-19T00:00:00"/>
        <d v="2018-10-08T00:00:00"/>
        <d v="2018-11-03T00:00:00"/>
        <d v="2018-11-24T00:00:00"/>
        <d v="2018-12-18T00:00:00"/>
        <m/>
      </sharedItems>
      <fieldGroup par="8"/>
    </cacheField>
    <cacheField name="port" numFmtId="0">
      <sharedItems containsBlank="1"/>
    </cacheField>
    <cacheField name="towar" numFmtId="0">
      <sharedItems containsBlank="1" count="6">
        <s v="T4"/>
        <s v="T5"/>
        <s v="T1"/>
        <s v="T2"/>
        <s v="T3"/>
        <m/>
      </sharedItems>
    </cacheField>
    <cacheField name="Z/W" numFmtId="0">
      <sharedItems containsBlank="1" count="3">
        <s v="Z"/>
        <s v="W"/>
        <m/>
      </sharedItems>
    </cacheField>
    <cacheField name="ile ton" numFmtId="0">
      <sharedItems containsString="0" containsBlank="1" containsNumber="1" containsInteger="1" minValue="1" maxValue="192"/>
    </cacheField>
    <cacheField name="cena za tone w talarach" numFmtId="0">
      <sharedItems containsString="0" containsBlank="1" containsNumber="1" containsInteger="1" minValue="7" maxValue="100"/>
    </cacheField>
    <cacheField name="Miesiące (data)" numFmtId="0" databaseField="0">
      <fieldGroup base="0">
        <rangePr groupBy="months" startDate="2016-01-01T00:00:00" endDate="2018-12-19T00:00:00"/>
        <groupItems count="14">
          <s v="&lt;01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9.12.2018"/>
        </groupItems>
      </fieldGroup>
    </cacheField>
    <cacheField name="Kwartały (data)" numFmtId="0" databaseField="0">
      <fieldGroup base="0">
        <rangePr groupBy="quarters" startDate="2016-01-01T00:00:00" endDate="2018-12-19T00:00:00"/>
        <groupItems count="6">
          <s v="&lt;01.01.2016"/>
          <s v="Kwartał1"/>
          <s v="Kwartał2"/>
          <s v="Kwartał3"/>
          <s v="Kwartał4"/>
          <s v="&gt;19.12.2018"/>
        </groupItems>
      </fieldGroup>
    </cacheField>
    <cacheField name="Lata (data)" numFmtId="0" databaseField="0">
      <fieldGroup base="0">
        <rangePr groupBy="years" startDate="2016-01-01T00:00:00" endDate="2018-12-19T00:00:00"/>
        <groupItems count="5">
          <s v="&lt;01.01.2016"/>
          <s v="2016"/>
          <s v="2017"/>
          <s v="2018"/>
          <s v="&gt;19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d v="2016-01-01T00:00:00"/>
    <s v="Algier"/>
    <x v="0"/>
    <x v="0"/>
    <x v="0"/>
    <n v="80"/>
  </r>
  <r>
    <d v="2016-01-01T00:00:00"/>
    <s v="Algier"/>
    <x v="1"/>
    <x v="0"/>
    <x v="1"/>
    <n v="50"/>
  </r>
  <r>
    <d v="2016-01-01T00:00:00"/>
    <s v="Algier"/>
    <x v="2"/>
    <x v="0"/>
    <x v="2"/>
    <n v="10"/>
  </r>
  <r>
    <d v="2016-01-01T00:00:00"/>
    <s v="Algier"/>
    <x v="3"/>
    <x v="0"/>
    <x v="3"/>
    <n v="30"/>
  </r>
  <r>
    <d v="2016-01-01T00:00:00"/>
    <s v="Algier"/>
    <x v="4"/>
    <x v="0"/>
    <x v="4"/>
    <n v="25"/>
  </r>
  <r>
    <d v="2016-01-16T00:00:00"/>
    <s v="Tunis"/>
    <x v="1"/>
    <x v="1"/>
    <x v="1"/>
    <n v="58"/>
  </r>
  <r>
    <d v="2016-01-16T00:00:00"/>
    <s v="Tunis"/>
    <x v="3"/>
    <x v="0"/>
    <x v="5"/>
    <n v="26"/>
  </r>
  <r>
    <d v="2016-01-24T00:00:00"/>
    <s v="Benghazi"/>
    <x v="1"/>
    <x v="0"/>
    <x v="6"/>
    <n v="46"/>
  </r>
  <r>
    <d v="2016-01-24T00:00:00"/>
    <s v="Benghazi"/>
    <x v="3"/>
    <x v="0"/>
    <x v="7"/>
    <n v="28"/>
  </r>
  <r>
    <d v="2016-01-24T00:00:00"/>
    <s v="Benghazi"/>
    <x v="0"/>
    <x v="0"/>
    <x v="8"/>
    <n v="74"/>
  </r>
  <r>
    <d v="2016-02-19T00:00:00"/>
    <s v="Aleksandria"/>
    <x v="4"/>
    <x v="1"/>
    <x v="4"/>
    <n v="32"/>
  </r>
  <r>
    <d v="2016-02-19T00:00:00"/>
    <s v="Aleksandria"/>
    <x v="2"/>
    <x v="1"/>
    <x v="2"/>
    <n v="13"/>
  </r>
  <r>
    <d v="2016-02-19T00:00:00"/>
    <s v="Aleksandria"/>
    <x v="0"/>
    <x v="0"/>
    <x v="9"/>
    <n v="59"/>
  </r>
  <r>
    <d v="2016-02-19T00:00:00"/>
    <s v="Aleksandria"/>
    <x v="1"/>
    <x v="0"/>
    <x v="10"/>
    <n v="37"/>
  </r>
  <r>
    <d v="2016-03-11T00:00:00"/>
    <s v="Bejrut"/>
    <x v="1"/>
    <x v="1"/>
    <x v="11"/>
    <n v="61"/>
  </r>
  <r>
    <d v="2016-03-11T00:00:00"/>
    <s v="Bejrut"/>
    <x v="4"/>
    <x v="0"/>
    <x v="1"/>
    <n v="20"/>
  </r>
  <r>
    <d v="2016-03-11T00:00:00"/>
    <s v="Bejrut"/>
    <x v="2"/>
    <x v="0"/>
    <x v="12"/>
    <n v="8"/>
  </r>
  <r>
    <d v="2016-03-11T00:00:00"/>
    <s v="Bejrut"/>
    <x v="3"/>
    <x v="0"/>
    <x v="13"/>
    <n v="24"/>
  </r>
  <r>
    <d v="2016-04-04T00:00:00"/>
    <s v="Palermo"/>
    <x v="2"/>
    <x v="1"/>
    <x v="12"/>
    <n v="12"/>
  </r>
  <r>
    <d v="2016-04-04T00:00:00"/>
    <s v="Palermo"/>
    <x v="4"/>
    <x v="0"/>
    <x v="14"/>
    <n v="19"/>
  </r>
  <r>
    <d v="2016-04-04T00:00:00"/>
    <s v="Palermo"/>
    <x v="1"/>
    <x v="0"/>
    <x v="3"/>
    <n v="38"/>
  </r>
  <r>
    <d v="2016-04-22T00:00:00"/>
    <s v="Neapol"/>
    <x v="3"/>
    <x v="1"/>
    <x v="15"/>
    <n v="35"/>
  </r>
  <r>
    <d v="2016-04-22T00:00:00"/>
    <s v="Neapol"/>
    <x v="0"/>
    <x v="0"/>
    <x v="16"/>
    <n v="66"/>
  </r>
  <r>
    <d v="2016-04-22T00:00:00"/>
    <s v="Neapol"/>
    <x v="1"/>
    <x v="0"/>
    <x v="17"/>
    <n v="41"/>
  </r>
  <r>
    <d v="2016-05-14T00:00:00"/>
    <s v="Monako"/>
    <x v="0"/>
    <x v="1"/>
    <x v="2"/>
    <n v="98"/>
  </r>
  <r>
    <d v="2016-05-14T00:00:00"/>
    <s v="Monako"/>
    <x v="3"/>
    <x v="0"/>
    <x v="13"/>
    <n v="23"/>
  </r>
  <r>
    <d v="2016-06-08T00:00:00"/>
    <s v="Barcelona"/>
    <x v="3"/>
    <x v="1"/>
    <x v="18"/>
    <n v="38"/>
  </r>
  <r>
    <d v="2016-06-08T00:00:00"/>
    <s v="Barcelona"/>
    <x v="0"/>
    <x v="0"/>
    <x v="19"/>
    <n v="60"/>
  </r>
  <r>
    <d v="2016-06-08T00:00:00"/>
    <s v="Barcelona"/>
    <x v="2"/>
    <x v="0"/>
    <x v="20"/>
    <n v="8"/>
  </r>
  <r>
    <d v="2016-06-08T00:00:00"/>
    <s v="Barcelona"/>
    <x v="4"/>
    <x v="0"/>
    <x v="21"/>
    <n v="19"/>
  </r>
  <r>
    <d v="2016-06-21T00:00:00"/>
    <s v="Walencja"/>
    <x v="4"/>
    <x v="1"/>
    <x v="22"/>
    <n v="28"/>
  </r>
  <r>
    <d v="2016-06-21T00:00:00"/>
    <s v="Walencja"/>
    <x v="0"/>
    <x v="1"/>
    <x v="19"/>
    <n v="90"/>
  </r>
  <r>
    <d v="2016-06-21T00:00:00"/>
    <s v="Walencja"/>
    <x v="1"/>
    <x v="0"/>
    <x v="19"/>
    <n v="44"/>
  </r>
  <r>
    <d v="2016-06-21T00:00:00"/>
    <s v="Walencja"/>
    <x v="3"/>
    <x v="0"/>
    <x v="3"/>
    <n v="26"/>
  </r>
  <r>
    <d v="2016-06-21T00:00:00"/>
    <s v="Walencja"/>
    <x v="2"/>
    <x v="0"/>
    <x v="9"/>
    <n v="9"/>
  </r>
  <r>
    <d v="2016-07-08T00:00:00"/>
    <s v="Algier"/>
    <x v="4"/>
    <x v="1"/>
    <x v="18"/>
    <n v="29"/>
  </r>
  <r>
    <d v="2016-07-08T00:00:00"/>
    <s v="Algier"/>
    <x v="2"/>
    <x v="1"/>
    <x v="23"/>
    <n v="12"/>
  </r>
  <r>
    <d v="2016-07-08T00:00:00"/>
    <s v="Algier"/>
    <x v="1"/>
    <x v="0"/>
    <x v="17"/>
    <n v="42"/>
  </r>
  <r>
    <d v="2016-07-08T00:00:00"/>
    <s v="Algier"/>
    <x v="0"/>
    <x v="0"/>
    <x v="1"/>
    <n v="66"/>
  </r>
  <r>
    <d v="2016-07-23T00:00:00"/>
    <s v="Tunis"/>
    <x v="0"/>
    <x v="1"/>
    <x v="1"/>
    <n v="92"/>
  </r>
  <r>
    <d v="2016-07-23T00:00:00"/>
    <s v="Tunis"/>
    <x v="1"/>
    <x v="0"/>
    <x v="24"/>
    <n v="43"/>
  </r>
  <r>
    <d v="2016-08-11T00:00:00"/>
    <s v="Benghazi"/>
    <x v="1"/>
    <x v="1"/>
    <x v="25"/>
    <n v="60"/>
  </r>
  <r>
    <d v="2016-08-11T00:00:00"/>
    <s v="Benghazi"/>
    <x v="3"/>
    <x v="0"/>
    <x v="9"/>
    <n v="24"/>
  </r>
  <r>
    <d v="2016-08-11T00:00:00"/>
    <s v="Benghazi"/>
    <x v="0"/>
    <x v="0"/>
    <x v="15"/>
    <n v="65"/>
  </r>
  <r>
    <d v="2016-09-06T00:00:00"/>
    <s v="Aleksandria"/>
    <x v="2"/>
    <x v="0"/>
    <x v="26"/>
    <n v="7"/>
  </r>
  <r>
    <d v="2016-09-06T00:00:00"/>
    <s v="Aleksandria"/>
    <x v="1"/>
    <x v="1"/>
    <x v="18"/>
    <n v="63"/>
  </r>
  <r>
    <d v="2016-09-06T00:00:00"/>
    <s v="Aleksandria"/>
    <x v="4"/>
    <x v="0"/>
    <x v="10"/>
    <n v="19"/>
  </r>
  <r>
    <d v="2016-09-06T00:00:00"/>
    <s v="Aleksandria"/>
    <x v="3"/>
    <x v="0"/>
    <x v="0"/>
    <n v="22"/>
  </r>
  <r>
    <d v="2016-09-06T00:00:00"/>
    <s v="Aleksandria"/>
    <x v="0"/>
    <x v="0"/>
    <x v="27"/>
    <n v="59"/>
  </r>
  <r>
    <d v="2016-09-27T00:00:00"/>
    <s v="Bejrut"/>
    <x v="1"/>
    <x v="0"/>
    <x v="6"/>
    <n v="40"/>
  </r>
  <r>
    <d v="2016-09-27T00:00:00"/>
    <s v="Bejrut"/>
    <x v="2"/>
    <x v="1"/>
    <x v="28"/>
    <n v="12"/>
  </r>
  <r>
    <d v="2016-09-27T00:00:00"/>
    <s v="Bejrut"/>
    <x v="4"/>
    <x v="0"/>
    <x v="29"/>
    <n v="20"/>
  </r>
  <r>
    <d v="2016-09-27T00:00:00"/>
    <s v="Bejrut"/>
    <x v="0"/>
    <x v="0"/>
    <x v="0"/>
    <n v="63"/>
  </r>
  <r>
    <d v="2016-09-27T00:00:00"/>
    <s v="Bejrut"/>
    <x v="3"/>
    <x v="0"/>
    <x v="30"/>
    <n v="24"/>
  </r>
  <r>
    <d v="2016-10-21T00:00:00"/>
    <s v="Palermo"/>
    <x v="2"/>
    <x v="1"/>
    <x v="31"/>
    <n v="12"/>
  </r>
  <r>
    <d v="2016-10-21T00:00:00"/>
    <s v="Palermo"/>
    <x v="4"/>
    <x v="0"/>
    <x v="5"/>
    <n v="19"/>
  </r>
  <r>
    <d v="2016-10-21T00:00:00"/>
    <s v="Palermo"/>
    <x v="3"/>
    <x v="0"/>
    <x v="32"/>
    <n v="23"/>
  </r>
  <r>
    <d v="2016-11-08T00:00:00"/>
    <s v="Neapol"/>
    <x v="2"/>
    <x v="0"/>
    <x v="33"/>
    <n v="8"/>
  </r>
  <r>
    <d v="2016-11-08T00:00:00"/>
    <s v="Neapol"/>
    <x v="0"/>
    <x v="0"/>
    <x v="30"/>
    <n v="66"/>
  </r>
  <r>
    <d v="2016-11-08T00:00:00"/>
    <s v="Neapol"/>
    <x v="1"/>
    <x v="0"/>
    <x v="34"/>
    <n v="41"/>
  </r>
  <r>
    <d v="2016-11-30T00:00:00"/>
    <s v="Monako"/>
    <x v="0"/>
    <x v="1"/>
    <x v="35"/>
    <n v="98"/>
  </r>
  <r>
    <d v="2016-11-30T00:00:00"/>
    <s v="Monako"/>
    <x v="2"/>
    <x v="1"/>
    <x v="33"/>
    <n v="12"/>
  </r>
  <r>
    <d v="2016-11-30T00:00:00"/>
    <s v="Monako"/>
    <x v="4"/>
    <x v="0"/>
    <x v="30"/>
    <n v="20"/>
  </r>
  <r>
    <d v="2016-11-30T00:00:00"/>
    <s v="Monako"/>
    <x v="3"/>
    <x v="0"/>
    <x v="18"/>
    <n v="23"/>
  </r>
  <r>
    <d v="2016-12-25T00:00:00"/>
    <s v="Barcelona"/>
    <x v="4"/>
    <x v="1"/>
    <x v="36"/>
    <n v="31"/>
  </r>
  <r>
    <d v="2016-12-25T00:00:00"/>
    <s v="Barcelona"/>
    <x v="0"/>
    <x v="0"/>
    <x v="3"/>
    <n v="60"/>
  </r>
  <r>
    <d v="2016-12-25T00:00:00"/>
    <s v="Barcelona"/>
    <x v="3"/>
    <x v="0"/>
    <x v="37"/>
    <n v="23"/>
  </r>
  <r>
    <d v="2017-01-07T00:00:00"/>
    <s v="Walencja"/>
    <x v="4"/>
    <x v="0"/>
    <x v="29"/>
    <n v="22"/>
  </r>
  <r>
    <d v="2017-01-07T00:00:00"/>
    <s v="Walencja"/>
    <x v="2"/>
    <x v="0"/>
    <x v="19"/>
    <n v="9"/>
  </r>
  <r>
    <d v="2017-01-07T00:00:00"/>
    <s v="Walencja"/>
    <x v="3"/>
    <x v="0"/>
    <x v="19"/>
    <n v="26"/>
  </r>
  <r>
    <d v="2017-01-07T00:00:00"/>
    <s v="Walencja"/>
    <x v="0"/>
    <x v="0"/>
    <x v="9"/>
    <n v="70"/>
  </r>
  <r>
    <d v="2017-01-07T00:00:00"/>
    <s v="Walencja"/>
    <x v="1"/>
    <x v="0"/>
    <x v="38"/>
    <n v="44"/>
  </r>
  <r>
    <d v="2017-01-24T00:00:00"/>
    <s v="Algier"/>
    <x v="1"/>
    <x v="1"/>
    <x v="39"/>
    <n v="59"/>
  </r>
  <r>
    <d v="2017-01-24T00:00:00"/>
    <s v="Algier"/>
    <x v="0"/>
    <x v="0"/>
    <x v="40"/>
    <n v="66"/>
  </r>
  <r>
    <d v="2017-01-24T00:00:00"/>
    <s v="Algier"/>
    <x v="4"/>
    <x v="0"/>
    <x v="16"/>
    <n v="21"/>
  </r>
  <r>
    <d v="2017-02-08T00:00:00"/>
    <s v="Tunis"/>
    <x v="0"/>
    <x v="1"/>
    <x v="41"/>
    <n v="92"/>
  </r>
  <r>
    <d v="2017-02-08T00:00:00"/>
    <s v="Tunis"/>
    <x v="3"/>
    <x v="0"/>
    <x v="5"/>
    <n v="26"/>
  </r>
  <r>
    <d v="2017-02-27T00:00:00"/>
    <s v="Benghazi"/>
    <x v="1"/>
    <x v="1"/>
    <x v="7"/>
    <n v="60"/>
  </r>
  <r>
    <d v="2017-02-27T00:00:00"/>
    <s v="Benghazi"/>
    <x v="3"/>
    <x v="1"/>
    <x v="4"/>
    <n v="36"/>
  </r>
  <r>
    <d v="2017-02-27T00:00:00"/>
    <s v="Benghazi"/>
    <x v="2"/>
    <x v="0"/>
    <x v="34"/>
    <n v="8"/>
  </r>
  <r>
    <d v="2017-02-27T00:00:00"/>
    <s v="Benghazi"/>
    <x v="4"/>
    <x v="0"/>
    <x v="5"/>
    <n v="20"/>
  </r>
  <r>
    <d v="2017-03-25T00:00:00"/>
    <s v="Aleksandria"/>
    <x v="3"/>
    <x v="1"/>
    <x v="3"/>
    <n v="38"/>
  </r>
  <r>
    <d v="2017-03-25T00:00:00"/>
    <s v="Aleksandria"/>
    <x v="1"/>
    <x v="0"/>
    <x v="17"/>
    <n v="37"/>
  </r>
  <r>
    <d v="2017-03-25T00:00:00"/>
    <s v="Aleksandria"/>
    <x v="4"/>
    <x v="0"/>
    <x v="29"/>
    <n v="19"/>
  </r>
  <r>
    <d v="2017-04-15T00:00:00"/>
    <s v="Bejrut"/>
    <x v="3"/>
    <x v="1"/>
    <x v="8"/>
    <n v="36"/>
  </r>
  <r>
    <d v="2017-04-15T00:00:00"/>
    <s v="Bejrut"/>
    <x v="0"/>
    <x v="1"/>
    <x v="31"/>
    <n v="97"/>
  </r>
  <r>
    <d v="2017-04-15T00:00:00"/>
    <s v="Bejrut"/>
    <x v="4"/>
    <x v="0"/>
    <x v="42"/>
    <n v="20"/>
  </r>
  <r>
    <d v="2017-04-15T00:00:00"/>
    <s v="Bejrut"/>
    <x v="2"/>
    <x v="0"/>
    <x v="43"/>
    <n v="8"/>
  </r>
  <r>
    <d v="2017-04-15T00:00:00"/>
    <s v="Bejrut"/>
    <x v="1"/>
    <x v="0"/>
    <x v="7"/>
    <n v="40"/>
  </r>
  <r>
    <d v="2017-05-09T00:00:00"/>
    <s v="Palermo"/>
    <x v="2"/>
    <x v="1"/>
    <x v="44"/>
    <n v="12"/>
  </r>
  <r>
    <d v="2017-05-09T00:00:00"/>
    <s v="Palermo"/>
    <x v="4"/>
    <x v="1"/>
    <x v="45"/>
    <n v="31"/>
  </r>
  <r>
    <d v="2017-05-09T00:00:00"/>
    <s v="Palermo"/>
    <x v="1"/>
    <x v="0"/>
    <x v="3"/>
    <n v="38"/>
  </r>
  <r>
    <d v="2017-05-09T00:00:00"/>
    <s v="Palermo"/>
    <x v="3"/>
    <x v="0"/>
    <x v="46"/>
    <n v="23"/>
  </r>
  <r>
    <d v="2017-05-09T00:00:00"/>
    <s v="Palermo"/>
    <x v="0"/>
    <x v="0"/>
    <x v="23"/>
    <n v="61"/>
  </r>
  <r>
    <d v="2017-05-27T00:00:00"/>
    <s v="Neapol"/>
    <x v="2"/>
    <x v="1"/>
    <x v="7"/>
    <n v="12"/>
  </r>
  <r>
    <d v="2017-05-27T00:00:00"/>
    <s v="Neapol"/>
    <x v="1"/>
    <x v="1"/>
    <x v="47"/>
    <n v="59"/>
  </r>
  <r>
    <d v="2017-05-27T00:00:00"/>
    <s v="Neapol"/>
    <x v="0"/>
    <x v="0"/>
    <x v="17"/>
    <n v="66"/>
  </r>
  <r>
    <d v="2017-05-27T00:00:00"/>
    <s v="Neapol"/>
    <x v="4"/>
    <x v="0"/>
    <x v="14"/>
    <n v="21"/>
  </r>
  <r>
    <d v="2017-05-27T00:00:00"/>
    <s v="Neapol"/>
    <x v="3"/>
    <x v="0"/>
    <x v="13"/>
    <n v="25"/>
  </r>
  <r>
    <d v="2017-06-18T00:00:00"/>
    <s v="Monako"/>
    <x v="3"/>
    <x v="1"/>
    <x v="2"/>
    <n v="37"/>
  </r>
  <r>
    <d v="2017-06-18T00:00:00"/>
    <s v="Monako"/>
    <x v="2"/>
    <x v="0"/>
    <x v="48"/>
    <n v="8"/>
  </r>
  <r>
    <d v="2017-06-18T00:00:00"/>
    <s v="Monako"/>
    <x v="4"/>
    <x v="0"/>
    <x v="14"/>
    <n v="20"/>
  </r>
  <r>
    <d v="2017-06-18T00:00:00"/>
    <s v="Monako"/>
    <x v="1"/>
    <x v="0"/>
    <x v="10"/>
    <n v="39"/>
  </r>
  <r>
    <d v="2017-06-18T00:00:00"/>
    <s v="Monako"/>
    <x v="0"/>
    <x v="0"/>
    <x v="28"/>
    <n v="62"/>
  </r>
  <r>
    <d v="2017-07-13T00:00:00"/>
    <s v="Barcelona"/>
    <x v="0"/>
    <x v="1"/>
    <x v="49"/>
    <n v="100"/>
  </r>
  <r>
    <d v="2017-07-13T00:00:00"/>
    <s v="Barcelona"/>
    <x v="4"/>
    <x v="0"/>
    <x v="50"/>
    <n v="19"/>
  </r>
  <r>
    <d v="2017-07-26T00:00:00"/>
    <s v="Walencja"/>
    <x v="3"/>
    <x v="1"/>
    <x v="16"/>
    <n v="34"/>
  </r>
  <r>
    <d v="2017-07-26T00:00:00"/>
    <s v="Walencja"/>
    <x v="2"/>
    <x v="1"/>
    <x v="48"/>
    <n v="11"/>
  </r>
  <r>
    <d v="2017-07-26T00:00:00"/>
    <s v="Walencja"/>
    <x v="4"/>
    <x v="0"/>
    <x v="23"/>
    <n v="22"/>
  </r>
  <r>
    <d v="2017-07-26T00:00:00"/>
    <s v="Walencja"/>
    <x v="0"/>
    <x v="0"/>
    <x v="13"/>
    <n v="70"/>
  </r>
  <r>
    <d v="2017-07-26T00:00:00"/>
    <s v="Walencja"/>
    <x v="1"/>
    <x v="0"/>
    <x v="19"/>
    <n v="44"/>
  </r>
  <r>
    <d v="2017-08-12T00:00:00"/>
    <s v="Algier"/>
    <x v="0"/>
    <x v="1"/>
    <x v="33"/>
    <n v="94"/>
  </r>
  <r>
    <d v="2017-08-12T00:00:00"/>
    <s v="Algier"/>
    <x v="1"/>
    <x v="1"/>
    <x v="24"/>
    <n v="59"/>
  </r>
  <r>
    <d v="2017-08-12T00:00:00"/>
    <s v="Algier"/>
    <x v="4"/>
    <x v="0"/>
    <x v="51"/>
    <n v="21"/>
  </r>
  <r>
    <d v="2017-08-12T00:00:00"/>
    <s v="Algier"/>
    <x v="3"/>
    <x v="0"/>
    <x v="37"/>
    <n v="25"/>
  </r>
  <r>
    <d v="2017-08-27T00:00:00"/>
    <s v="Tunis"/>
    <x v="2"/>
    <x v="0"/>
    <x v="52"/>
    <n v="9"/>
  </r>
  <r>
    <d v="2017-08-27T00:00:00"/>
    <s v="Tunis"/>
    <x v="0"/>
    <x v="0"/>
    <x v="2"/>
    <n v="68"/>
  </r>
  <r>
    <d v="2017-08-27T00:00:00"/>
    <s v="Tunis"/>
    <x v="4"/>
    <x v="0"/>
    <x v="5"/>
    <n v="21"/>
  </r>
  <r>
    <d v="2017-08-27T00:00:00"/>
    <s v="Tunis"/>
    <x v="1"/>
    <x v="0"/>
    <x v="18"/>
    <n v="43"/>
  </r>
  <r>
    <d v="2017-09-15T00:00:00"/>
    <s v="Benghazi"/>
    <x v="3"/>
    <x v="1"/>
    <x v="21"/>
    <n v="36"/>
  </r>
  <r>
    <d v="2017-09-15T00:00:00"/>
    <s v="Benghazi"/>
    <x v="0"/>
    <x v="0"/>
    <x v="34"/>
    <n v="65"/>
  </r>
  <r>
    <d v="2017-10-11T00:00:00"/>
    <s v="Aleksandria"/>
    <x v="1"/>
    <x v="1"/>
    <x v="53"/>
    <n v="63"/>
  </r>
  <r>
    <d v="2017-10-11T00:00:00"/>
    <s v="Aleksandria"/>
    <x v="0"/>
    <x v="0"/>
    <x v="4"/>
    <n v="59"/>
  </r>
  <r>
    <d v="2017-11-01T00:00:00"/>
    <s v="Bejrut"/>
    <x v="1"/>
    <x v="1"/>
    <x v="7"/>
    <n v="61"/>
  </r>
  <r>
    <d v="2017-11-01T00:00:00"/>
    <s v="Bejrut"/>
    <x v="4"/>
    <x v="1"/>
    <x v="54"/>
    <n v="30"/>
  </r>
  <r>
    <d v="2017-11-01T00:00:00"/>
    <s v="Bejrut"/>
    <x v="2"/>
    <x v="0"/>
    <x v="43"/>
    <n v="8"/>
  </r>
  <r>
    <d v="2017-11-01T00:00:00"/>
    <s v="Bejrut"/>
    <x v="0"/>
    <x v="0"/>
    <x v="52"/>
    <n v="63"/>
  </r>
  <r>
    <d v="2017-11-01T00:00:00"/>
    <s v="Bejrut"/>
    <x v="3"/>
    <x v="0"/>
    <x v="21"/>
    <n v="24"/>
  </r>
  <r>
    <d v="2017-11-25T00:00:00"/>
    <s v="Palermo"/>
    <x v="0"/>
    <x v="1"/>
    <x v="55"/>
    <n v="99"/>
  </r>
  <r>
    <d v="2017-11-25T00:00:00"/>
    <s v="Palermo"/>
    <x v="1"/>
    <x v="0"/>
    <x v="42"/>
    <n v="38"/>
  </r>
  <r>
    <d v="2017-12-13T00:00:00"/>
    <s v="Neapol"/>
    <x v="4"/>
    <x v="1"/>
    <x v="18"/>
    <n v="30"/>
  </r>
  <r>
    <d v="2017-12-13T00:00:00"/>
    <s v="Neapol"/>
    <x v="2"/>
    <x v="0"/>
    <x v="37"/>
    <n v="8"/>
  </r>
  <r>
    <d v="2017-12-13T00:00:00"/>
    <s v="Neapol"/>
    <x v="0"/>
    <x v="0"/>
    <x v="2"/>
    <n v="66"/>
  </r>
  <r>
    <d v="2018-01-04T00:00:00"/>
    <s v="Monako"/>
    <x v="0"/>
    <x v="1"/>
    <x v="2"/>
    <n v="98"/>
  </r>
  <r>
    <d v="2018-01-04T00:00:00"/>
    <s v="Monako"/>
    <x v="3"/>
    <x v="1"/>
    <x v="6"/>
    <n v="37"/>
  </r>
  <r>
    <d v="2018-01-04T00:00:00"/>
    <s v="Monako"/>
    <x v="2"/>
    <x v="0"/>
    <x v="8"/>
    <n v="8"/>
  </r>
  <r>
    <d v="2018-01-04T00:00:00"/>
    <s v="Monako"/>
    <x v="1"/>
    <x v="0"/>
    <x v="13"/>
    <n v="39"/>
  </r>
  <r>
    <d v="2018-01-29T00:00:00"/>
    <s v="Barcelona"/>
    <x v="3"/>
    <x v="1"/>
    <x v="43"/>
    <n v="38"/>
  </r>
  <r>
    <d v="2018-01-29T00:00:00"/>
    <s v="Barcelona"/>
    <x v="1"/>
    <x v="1"/>
    <x v="48"/>
    <n v="63"/>
  </r>
  <r>
    <d v="2018-01-29T00:00:00"/>
    <s v="Barcelona"/>
    <x v="0"/>
    <x v="0"/>
    <x v="9"/>
    <n v="60"/>
  </r>
  <r>
    <d v="2018-01-29T00:00:00"/>
    <s v="Barcelona"/>
    <x v="4"/>
    <x v="0"/>
    <x v="53"/>
    <n v="19"/>
  </r>
  <r>
    <d v="2018-01-29T00:00:00"/>
    <s v="Barcelona"/>
    <x v="2"/>
    <x v="0"/>
    <x v="18"/>
    <n v="8"/>
  </r>
  <r>
    <d v="2018-01-30T00:00:00"/>
    <s v="Walencja"/>
    <x v="4"/>
    <x v="1"/>
    <x v="53"/>
    <n v="25"/>
  </r>
  <r>
    <d v="2018-01-30T00:00:00"/>
    <s v="Walencja"/>
    <x v="0"/>
    <x v="0"/>
    <x v="24"/>
    <n v="79"/>
  </r>
  <r>
    <d v="2018-02-16T00:00:00"/>
    <s v="Algier"/>
    <x v="1"/>
    <x v="0"/>
    <x v="40"/>
    <n v="42"/>
  </r>
  <r>
    <d v="2018-02-16T00:00:00"/>
    <s v="Algier"/>
    <x v="3"/>
    <x v="1"/>
    <x v="56"/>
    <n v="35"/>
  </r>
  <r>
    <d v="2018-02-16T00:00:00"/>
    <s v="Algier"/>
    <x v="2"/>
    <x v="0"/>
    <x v="13"/>
    <n v="8"/>
  </r>
  <r>
    <d v="2018-02-16T00:00:00"/>
    <s v="Algier"/>
    <x v="4"/>
    <x v="0"/>
    <x v="26"/>
    <n v="21"/>
  </r>
  <r>
    <d v="2018-02-16T00:00:00"/>
    <s v="Algier"/>
    <x v="0"/>
    <x v="0"/>
    <x v="24"/>
    <n v="66"/>
  </r>
  <r>
    <d v="2018-03-03T00:00:00"/>
    <s v="Tunis"/>
    <x v="1"/>
    <x v="1"/>
    <x v="40"/>
    <n v="58"/>
  </r>
  <r>
    <d v="2018-03-03T00:00:00"/>
    <s v="Tunis"/>
    <x v="2"/>
    <x v="0"/>
    <x v="16"/>
    <n v="9"/>
  </r>
  <r>
    <d v="2018-03-22T00:00:00"/>
    <s v="Benghazi"/>
    <x v="4"/>
    <x v="1"/>
    <x v="57"/>
    <n v="30"/>
  </r>
  <r>
    <d v="2018-03-22T00:00:00"/>
    <s v="Benghazi"/>
    <x v="0"/>
    <x v="0"/>
    <x v="56"/>
    <n v="65"/>
  </r>
  <r>
    <d v="2018-03-22T00:00:00"/>
    <s v="Benghazi"/>
    <x v="2"/>
    <x v="0"/>
    <x v="58"/>
    <n v="8"/>
  </r>
  <r>
    <d v="2018-04-17T00:00:00"/>
    <s v="Aleksandria"/>
    <x v="1"/>
    <x v="0"/>
    <x v="16"/>
    <n v="37"/>
  </r>
  <r>
    <d v="2018-04-17T00:00:00"/>
    <s v="Aleksandria"/>
    <x v="4"/>
    <x v="1"/>
    <x v="7"/>
    <n v="32"/>
  </r>
  <r>
    <d v="2018-04-17T00:00:00"/>
    <s v="Aleksandria"/>
    <x v="2"/>
    <x v="0"/>
    <x v="40"/>
    <n v="7"/>
  </r>
  <r>
    <d v="2018-04-17T00:00:00"/>
    <s v="Aleksandria"/>
    <x v="0"/>
    <x v="0"/>
    <x v="50"/>
    <n v="59"/>
  </r>
  <r>
    <d v="2018-05-08T00:00:00"/>
    <s v="Bejrut"/>
    <x v="3"/>
    <x v="0"/>
    <x v="40"/>
    <n v="24"/>
  </r>
  <r>
    <d v="2018-05-08T00:00:00"/>
    <s v="Bejrut"/>
    <x v="4"/>
    <x v="0"/>
    <x v="59"/>
    <n v="20"/>
  </r>
  <r>
    <d v="2018-05-08T00:00:00"/>
    <s v="Bejrut"/>
    <x v="2"/>
    <x v="0"/>
    <x v="29"/>
    <n v="8"/>
  </r>
  <r>
    <d v="2018-06-01T00:00:00"/>
    <s v="Palermo"/>
    <x v="0"/>
    <x v="1"/>
    <x v="60"/>
    <n v="99"/>
  </r>
  <r>
    <d v="2018-06-01T00:00:00"/>
    <s v="Palermo"/>
    <x v="1"/>
    <x v="0"/>
    <x v="24"/>
    <n v="38"/>
  </r>
  <r>
    <d v="2018-06-01T00:00:00"/>
    <s v="Palermo"/>
    <x v="3"/>
    <x v="0"/>
    <x v="8"/>
    <n v="23"/>
  </r>
  <r>
    <d v="2018-06-19T00:00:00"/>
    <s v="Neapol"/>
    <x v="0"/>
    <x v="0"/>
    <x v="26"/>
    <n v="66"/>
  </r>
  <r>
    <d v="2018-06-19T00:00:00"/>
    <s v="Neapol"/>
    <x v="3"/>
    <x v="0"/>
    <x v="53"/>
    <n v="25"/>
  </r>
  <r>
    <d v="2018-06-19T00:00:00"/>
    <s v="Neapol"/>
    <x v="1"/>
    <x v="0"/>
    <x v="26"/>
    <n v="41"/>
  </r>
  <r>
    <d v="2018-07-11T00:00:00"/>
    <s v="Monako"/>
    <x v="2"/>
    <x v="1"/>
    <x v="61"/>
    <n v="12"/>
  </r>
  <r>
    <d v="2018-07-11T00:00:00"/>
    <s v="Monako"/>
    <x v="3"/>
    <x v="1"/>
    <x v="24"/>
    <n v="37"/>
  </r>
  <r>
    <d v="2018-07-11T00:00:00"/>
    <s v="Monako"/>
    <x v="0"/>
    <x v="0"/>
    <x v="62"/>
    <n v="62"/>
  </r>
  <r>
    <d v="2018-07-11T00:00:00"/>
    <s v="Monako"/>
    <x v="1"/>
    <x v="0"/>
    <x v="14"/>
    <n v="39"/>
  </r>
  <r>
    <d v="2018-07-11T00:00:00"/>
    <s v="Monako"/>
    <x v="4"/>
    <x v="0"/>
    <x v="31"/>
    <n v="20"/>
  </r>
  <r>
    <d v="2018-08-05T00:00:00"/>
    <s v="Barcelona"/>
    <x v="3"/>
    <x v="1"/>
    <x v="46"/>
    <n v="38"/>
  </r>
  <r>
    <d v="2018-08-05T00:00:00"/>
    <s v="Barcelona"/>
    <x v="1"/>
    <x v="1"/>
    <x v="63"/>
    <n v="63"/>
  </r>
  <r>
    <d v="2018-08-05T00:00:00"/>
    <s v="Barcelona"/>
    <x v="4"/>
    <x v="0"/>
    <x v="34"/>
    <n v="19"/>
  </r>
  <r>
    <d v="2018-08-05T00:00:00"/>
    <s v="Barcelona"/>
    <x v="2"/>
    <x v="0"/>
    <x v="57"/>
    <n v="8"/>
  </r>
  <r>
    <d v="2018-08-18T00:00:00"/>
    <s v="Walencja"/>
    <x v="2"/>
    <x v="1"/>
    <x v="56"/>
    <n v="11"/>
  </r>
  <r>
    <d v="2018-08-18T00:00:00"/>
    <s v="Walencja"/>
    <x v="0"/>
    <x v="1"/>
    <x v="64"/>
    <n v="90"/>
  </r>
  <r>
    <d v="2018-08-18T00:00:00"/>
    <s v="Walencja"/>
    <x v="4"/>
    <x v="0"/>
    <x v="21"/>
    <n v="22"/>
  </r>
  <r>
    <d v="2018-08-18T00:00:00"/>
    <s v="Walencja"/>
    <x v="1"/>
    <x v="0"/>
    <x v="48"/>
    <n v="44"/>
  </r>
  <r>
    <d v="2018-09-04T00:00:00"/>
    <s v="Algier"/>
    <x v="3"/>
    <x v="0"/>
    <x v="9"/>
    <n v="25"/>
  </r>
  <r>
    <d v="2018-09-04T00:00:00"/>
    <s v="Algier"/>
    <x v="0"/>
    <x v="1"/>
    <x v="18"/>
    <n v="94"/>
  </r>
  <r>
    <d v="2018-09-04T00:00:00"/>
    <s v="Algier"/>
    <x v="4"/>
    <x v="0"/>
    <x v="10"/>
    <n v="21"/>
  </r>
  <r>
    <d v="2018-09-04T00:00:00"/>
    <s v="Algier"/>
    <x v="2"/>
    <x v="0"/>
    <x v="26"/>
    <n v="8"/>
  </r>
  <r>
    <d v="2018-09-19T00:00:00"/>
    <s v="Tunis"/>
    <x v="4"/>
    <x v="1"/>
    <x v="65"/>
    <n v="29"/>
  </r>
  <r>
    <d v="2018-09-19T00:00:00"/>
    <s v="Tunis"/>
    <x v="1"/>
    <x v="1"/>
    <x v="37"/>
    <n v="58"/>
  </r>
  <r>
    <d v="2018-09-19T00:00:00"/>
    <s v="Tunis"/>
    <x v="2"/>
    <x v="0"/>
    <x v="52"/>
    <n v="9"/>
  </r>
  <r>
    <d v="2018-09-19T00:00:00"/>
    <s v="Tunis"/>
    <x v="3"/>
    <x v="0"/>
    <x v="15"/>
    <n v="26"/>
  </r>
  <r>
    <d v="2018-09-19T00:00:00"/>
    <s v="Tunis"/>
    <x v="0"/>
    <x v="0"/>
    <x v="53"/>
    <n v="68"/>
  </r>
  <r>
    <d v="2018-10-08T00:00:00"/>
    <s v="Benghazi"/>
    <x v="3"/>
    <x v="1"/>
    <x v="28"/>
    <n v="36"/>
  </r>
  <r>
    <d v="2018-10-08T00:00:00"/>
    <s v="Benghazi"/>
    <x v="2"/>
    <x v="0"/>
    <x v="62"/>
    <n v="8"/>
  </r>
  <r>
    <d v="2018-10-08T00:00:00"/>
    <s v="Benghazi"/>
    <x v="1"/>
    <x v="0"/>
    <x v="51"/>
    <n v="41"/>
  </r>
  <r>
    <d v="2018-11-03T00:00:00"/>
    <s v="Aleksandria"/>
    <x v="4"/>
    <x v="1"/>
    <x v="18"/>
    <n v="32"/>
  </r>
  <r>
    <d v="2018-11-03T00:00:00"/>
    <s v="Aleksandria"/>
    <x v="1"/>
    <x v="0"/>
    <x v="24"/>
    <n v="37"/>
  </r>
  <r>
    <d v="2018-11-24T00:00:00"/>
    <s v="Bejrut"/>
    <x v="1"/>
    <x v="1"/>
    <x v="66"/>
    <n v="61"/>
  </r>
  <r>
    <d v="2018-11-24T00:00:00"/>
    <s v="Bejrut"/>
    <x v="0"/>
    <x v="0"/>
    <x v="4"/>
    <n v="63"/>
  </r>
  <r>
    <d v="2018-11-24T00:00:00"/>
    <s v="Bejrut"/>
    <x v="3"/>
    <x v="0"/>
    <x v="52"/>
    <n v="24"/>
  </r>
  <r>
    <d v="2018-12-18T00:00:00"/>
    <s v="Palermo"/>
    <x v="1"/>
    <x v="1"/>
    <x v="18"/>
    <n v="62"/>
  </r>
  <r>
    <d v="2018-12-18T00:00:00"/>
    <s v="Palermo"/>
    <x v="4"/>
    <x v="0"/>
    <x v="17"/>
    <n v="19"/>
  </r>
  <r>
    <d v="2018-12-18T00:00:00"/>
    <s v="Palermo"/>
    <x v="2"/>
    <x v="0"/>
    <x v="27"/>
    <n v="8"/>
  </r>
  <r>
    <d v="2018-12-18T00:00:00"/>
    <s v="Palermo"/>
    <x v="0"/>
    <x v="0"/>
    <x v="32"/>
    <n v="61"/>
  </r>
  <r>
    <d v="2018-12-18T00:00:00"/>
    <s v="Palermo"/>
    <x v="3"/>
    <x v="0"/>
    <x v="57"/>
    <n v="23"/>
  </r>
  <r>
    <m/>
    <m/>
    <x v="5"/>
    <x v="2"/>
    <x v="6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s v="Algier"/>
    <x v="0"/>
    <x v="0"/>
    <n v="3"/>
    <n v="80"/>
  </r>
  <r>
    <x v="0"/>
    <s v="Algier"/>
    <x v="1"/>
    <x v="0"/>
    <n v="32"/>
    <n v="50"/>
  </r>
  <r>
    <x v="0"/>
    <s v="Algier"/>
    <x v="2"/>
    <x v="0"/>
    <n v="38"/>
    <n v="10"/>
  </r>
  <r>
    <x v="0"/>
    <s v="Algier"/>
    <x v="3"/>
    <x v="0"/>
    <n v="33"/>
    <n v="30"/>
  </r>
  <r>
    <x v="0"/>
    <s v="Algier"/>
    <x v="4"/>
    <x v="0"/>
    <n v="43"/>
    <n v="25"/>
  </r>
  <r>
    <x v="1"/>
    <s v="Tunis"/>
    <x v="1"/>
    <x v="1"/>
    <n v="32"/>
    <n v="58"/>
  </r>
  <r>
    <x v="1"/>
    <s v="Tunis"/>
    <x v="3"/>
    <x v="0"/>
    <n v="14"/>
    <n v="26"/>
  </r>
  <r>
    <x v="2"/>
    <s v="Benghazi"/>
    <x v="1"/>
    <x v="0"/>
    <n v="44"/>
    <n v="46"/>
  </r>
  <r>
    <x v="2"/>
    <s v="Benghazi"/>
    <x v="3"/>
    <x v="0"/>
    <n v="1"/>
    <n v="28"/>
  </r>
  <r>
    <x v="2"/>
    <s v="Benghazi"/>
    <x v="0"/>
    <x v="0"/>
    <n v="21"/>
    <n v="74"/>
  </r>
  <r>
    <x v="3"/>
    <s v="Aleksandria"/>
    <x v="4"/>
    <x v="1"/>
    <n v="43"/>
    <n v="32"/>
  </r>
  <r>
    <x v="3"/>
    <s v="Aleksandria"/>
    <x v="2"/>
    <x v="1"/>
    <n v="38"/>
    <n v="13"/>
  </r>
  <r>
    <x v="3"/>
    <s v="Aleksandria"/>
    <x v="0"/>
    <x v="0"/>
    <n v="9"/>
    <n v="59"/>
  </r>
  <r>
    <x v="3"/>
    <s v="Aleksandria"/>
    <x v="1"/>
    <x v="0"/>
    <n v="8"/>
    <n v="37"/>
  </r>
  <r>
    <x v="4"/>
    <s v="Bejrut"/>
    <x v="1"/>
    <x v="1"/>
    <n v="50"/>
    <n v="61"/>
  </r>
  <r>
    <x v="4"/>
    <s v="Bejrut"/>
    <x v="4"/>
    <x v="0"/>
    <n v="32"/>
    <n v="20"/>
  </r>
  <r>
    <x v="4"/>
    <s v="Bejrut"/>
    <x v="2"/>
    <x v="0"/>
    <n v="7"/>
    <n v="8"/>
  </r>
  <r>
    <x v="4"/>
    <s v="Bejrut"/>
    <x v="3"/>
    <x v="0"/>
    <n v="10"/>
    <n v="24"/>
  </r>
  <r>
    <x v="5"/>
    <s v="Palermo"/>
    <x v="2"/>
    <x v="1"/>
    <n v="7"/>
    <n v="12"/>
  </r>
  <r>
    <x v="5"/>
    <s v="Palermo"/>
    <x v="4"/>
    <x v="0"/>
    <n v="25"/>
    <n v="19"/>
  </r>
  <r>
    <x v="5"/>
    <s v="Palermo"/>
    <x v="1"/>
    <x v="0"/>
    <n v="33"/>
    <n v="38"/>
  </r>
  <r>
    <x v="6"/>
    <s v="Neapol"/>
    <x v="3"/>
    <x v="1"/>
    <n v="36"/>
    <n v="35"/>
  </r>
  <r>
    <x v="6"/>
    <s v="Neapol"/>
    <x v="0"/>
    <x v="0"/>
    <n v="5"/>
    <n v="66"/>
  </r>
  <r>
    <x v="6"/>
    <s v="Neapol"/>
    <x v="1"/>
    <x v="0"/>
    <n v="35"/>
    <n v="41"/>
  </r>
  <r>
    <x v="7"/>
    <s v="Monako"/>
    <x v="0"/>
    <x v="1"/>
    <n v="38"/>
    <n v="98"/>
  </r>
  <r>
    <x v="7"/>
    <s v="Monako"/>
    <x v="3"/>
    <x v="0"/>
    <n v="10"/>
    <n v="23"/>
  </r>
  <r>
    <x v="8"/>
    <s v="Barcelona"/>
    <x v="3"/>
    <x v="1"/>
    <n v="4"/>
    <n v="38"/>
  </r>
  <r>
    <x v="8"/>
    <s v="Barcelona"/>
    <x v="0"/>
    <x v="0"/>
    <n v="42"/>
    <n v="60"/>
  </r>
  <r>
    <x v="8"/>
    <s v="Barcelona"/>
    <x v="2"/>
    <x v="0"/>
    <n v="28"/>
    <n v="8"/>
  </r>
  <r>
    <x v="8"/>
    <s v="Barcelona"/>
    <x v="4"/>
    <x v="0"/>
    <n v="19"/>
    <n v="19"/>
  </r>
  <r>
    <x v="9"/>
    <s v="Walencja"/>
    <x v="4"/>
    <x v="1"/>
    <n v="72"/>
    <n v="28"/>
  </r>
  <r>
    <x v="9"/>
    <s v="Walencja"/>
    <x v="0"/>
    <x v="1"/>
    <n v="42"/>
    <n v="90"/>
  </r>
  <r>
    <x v="9"/>
    <s v="Walencja"/>
    <x v="1"/>
    <x v="0"/>
    <n v="42"/>
    <n v="44"/>
  </r>
  <r>
    <x v="9"/>
    <s v="Walencja"/>
    <x v="3"/>
    <x v="0"/>
    <n v="33"/>
    <n v="26"/>
  </r>
  <r>
    <x v="9"/>
    <s v="Walencja"/>
    <x v="2"/>
    <x v="0"/>
    <n v="9"/>
    <n v="9"/>
  </r>
  <r>
    <x v="10"/>
    <s v="Algier"/>
    <x v="4"/>
    <x v="1"/>
    <n v="4"/>
    <n v="29"/>
  </r>
  <r>
    <x v="10"/>
    <s v="Algier"/>
    <x v="2"/>
    <x v="1"/>
    <n v="37"/>
    <n v="12"/>
  </r>
  <r>
    <x v="10"/>
    <s v="Algier"/>
    <x v="1"/>
    <x v="0"/>
    <n v="35"/>
    <n v="42"/>
  </r>
  <r>
    <x v="10"/>
    <s v="Algier"/>
    <x v="0"/>
    <x v="0"/>
    <n v="32"/>
    <n v="66"/>
  </r>
  <r>
    <x v="11"/>
    <s v="Tunis"/>
    <x v="0"/>
    <x v="1"/>
    <n v="32"/>
    <n v="92"/>
  </r>
  <r>
    <x v="11"/>
    <s v="Tunis"/>
    <x v="1"/>
    <x v="0"/>
    <n v="48"/>
    <n v="43"/>
  </r>
  <r>
    <x v="12"/>
    <s v="Benghazi"/>
    <x v="1"/>
    <x v="1"/>
    <n v="191"/>
    <n v="60"/>
  </r>
  <r>
    <x v="12"/>
    <s v="Benghazi"/>
    <x v="3"/>
    <x v="0"/>
    <n v="9"/>
    <n v="24"/>
  </r>
  <r>
    <x v="12"/>
    <s v="Benghazi"/>
    <x v="0"/>
    <x v="0"/>
    <n v="36"/>
    <n v="65"/>
  </r>
  <r>
    <x v="13"/>
    <s v="Aleksandria"/>
    <x v="2"/>
    <x v="0"/>
    <n v="47"/>
    <n v="7"/>
  </r>
  <r>
    <x v="13"/>
    <s v="Aleksandria"/>
    <x v="1"/>
    <x v="1"/>
    <n v="4"/>
    <n v="63"/>
  </r>
  <r>
    <x v="13"/>
    <s v="Aleksandria"/>
    <x v="4"/>
    <x v="0"/>
    <n v="8"/>
    <n v="19"/>
  </r>
  <r>
    <x v="13"/>
    <s v="Aleksandria"/>
    <x v="3"/>
    <x v="0"/>
    <n v="3"/>
    <n v="22"/>
  </r>
  <r>
    <x v="13"/>
    <s v="Aleksandria"/>
    <x v="0"/>
    <x v="0"/>
    <n v="41"/>
    <n v="59"/>
  </r>
  <r>
    <x v="14"/>
    <s v="Bejrut"/>
    <x v="1"/>
    <x v="0"/>
    <n v="44"/>
    <n v="40"/>
  </r>
  <r>
    <x v="14"/>
    <s v="Bejrut"/>
    <x v="2"/>
    <x v="1"/>
    <n v="45"/>
    <n v="12"/>
  </r>
  <r>
    <x v="14"/>
    <s v="Bejrut"/>
    <x v="4"/>
    <x v="0"/>
    <n v="40"/>
    <n v="20"/>
  </r>
  <r>
    <x v="14"/>
    <s v="Bejrut"/>
    <x v="0"/>
    <x v="0"/>
    <n v="3"/>
    <n v="63"/>
  </r>
  <r>
    <x v="14"/>
    <s v="Bejrut"/>
    <x v="3"/>
    <x v="0"/>
    <n v="17"/>
    <n v="24"/>
  </r>
  <r>
    <x v="15"/>
    <s v="Palermo"/>
    <x v="2"/>
    <x v="1"/>
    <n v="2"/>
    <n v="12"/>
  </r>
  <r>
    <x v="15"/>
    <s v="Palermo"/>
    <x v="4"/>
    <x v="0"/>
    <n v="14"/>
    <n v="19"/>
  </r>
  <r>
    <x v="15"/>
    <s v="Palermo"/>
    <x v="3"/>
    <x v="0"/>
    <n v="23"/>
    <n v="23"/>
  </r>
  <r>
    <x v="16"/>
    <s v="Neapol"/>
    <x v="2"/>
    <x v="0"/>
    <n v="11"/>
    <n v="8"/>
  </r>
  <r>
    <x v="16"/>
    <s v="Neapol"/>
    <x v="0"/>
    <x v="0"/>
    <n v="17"/>
    <n v="66"/>
  </r>
  <r>
    <x v="16"/>
    <s v="Neapol"/>
    <x v="1"/>
    <x v="0"/>
    <n v="30"/>
    <n v="41"/>
  </r>
  <r>
    <x v="17"/>
    <s v="Monako"/>
    <x v="0"/>
    <x v="1"/>
    <n v="97"/>
    <n v="98"/>
  </r>
  <r>
    <x v="17"/>
    <s v="Monako"/>
    <x v="2"/>
    <x v="1"/>
    <n v="11"/>
    <n v="12"/>
  </r>
  <r>
    <x v="17"/>
    <s v="Monako"/>
    <x v="4"/>
    <x v="0"/>
    <n v="17"/>
    <n v="20"/>
  </r>
  <r>
    <x v="17"/>
    <s v="Monako"/>
    <x v="3"/>
    <x v="0"/>
    <n v="4"/>
    <n v="23"/>
  </r>
  <r>
    <x v="18"/>
    <s v="Barcelona"/>
    <x v="4"/>
    <x v="1"/>
    <n v="79"/>
    <n v="31"/>
  </r>
  <r>
    <x v="18"/>
    <s v="Barcelona"/>
    <x v="0"/>
    <x v="0"/>
    <n v="33"/>
    <n v="60"/>
  </r>
  <r>
    <x v="18"/>
    <s v="Barcelona"/>
    <x v="3"/>
    <x v="0"/>
    <n v="26"/>
    <n v="23"/>
  </r>
  <r>
    <x v="19"/>
    <s v="Walencja"/>
    <x v="4"/>
    <x v="0"/>
    <n v="40"/>
    <n v="22"/>
  </r>
  <r>
    <x v="19"/>
    <s v="Walencja"/>
    <x v="2"/>
    <x v="0"/>
    <n v="42"/>
    <n v="9"/>
  </r>
  <r>
    <x v="19"/>
    <s v="Walencja"/>
    <x v="3"/>
    <x v="0"/>
    <n v="42"/>
    <n v="26"/>
  </r>
  <r>
    <x v="19"/>
    <s v="Walencja"/>
    <x v="0"/>
    <x v="0"/>
    <n v="9"/>
    <n v="70"/>
  </r>
  <r>
    <x v="19"/>
    <s v="Walencja"/>
    <x v="1"/>
    <x v="0"/>
    <n v="39"/>
    <n v="44"/>
  </r>
  <r>
    <x v="20"/>
    <s v="Algier"/>
    <x v="1"/>
    <x v="1"/>
    <n v="112"/>
    <n v="59"/>
  </r>
  <r>
    <x v="20"/>
    <s v="Algier"/>
    <x v="0"/>
    <x v="0"/>
    <n v="34"/>
    <n v="66"/>
  </r>
  <r>
    <x v="20"/>
    <s v="Algier"/>
    <x v="4"/>
    <x v="0"/>
    <n v="5"/>
    <n v="21"/>
  </r>
  <r>
    <x v="21"/>
    <s v="Tunis"/>
    <x v="0"/>
    <x v="1"/>
    <n v="74"/>
    <n v="92"/>
  </r>
  <r>
    <x v="21"/>
    <s v="Tunis"/>
    <x v="3"/>
    <x v="0"/>
    <n v="14"/>
    <n v="26"/>
  </r>
  <r>
    <x v="22"/>
    <s v="Benghazi"/>
    <x v="1"/>
    <x v="1"/>
    <n v="1"/>
    <n v="60"/>
  </r>
  <r>
    <x v="22"/>
    <s v="Benghazi"/>
    <x v="3"/>
    <x v="1"/>
    <n v="43"/>
    <n v="36"/>
  </r>
  <r>
    <x v="22"/>
    <s v="Benghazi"/>
    <x v="2"/>
    <x v="0"/>
    <n v="30"/>
    <n v="8"/>
  </r>
  <r>
    <x v="22"/>
    <s v="Benghazi"/>
    <x v="4"/>
    <x v="0"/>
    <n v="14"/>
    <n v="20"/>
  </r>
  <r>
    <x v="23"/>
    <s v="Aleksandria"/>
    <x v="3"/>
    <x v="1"/>
    <n v="33"/>
    <n v="38"/>
  </r>
  <r>
    <x v="23"/>
    <s v="Aleksandria"/>
    <x v="1"/>
    <x v="0"/>
    <n v="35"/>
    <n v="37"/>
  </r>
  <r>
    <x v="23"/>
    <s v="Aleksandria"/>
    <x v="4"/>
    <x v="0"/>
    <n v="40"/>
    <n v="19"/>
  </r>
  <r>
    <x v="24"/>
    <s v="Bejrut"/>
    <x v="3"/>
    <x v="1"/>
    <n v="21"/>
    <n v="36"/>
  </r>
  <r>
    <x v="24"/>
    <s v="Bejrut"/>
    <x v="0"/>
    <x v="1"/>
    <n v="2"/>
    <n v="97"/>
  </r>
  <r>
    <x v="24"/>
    <s v="Bejrut"/>
    <x v="4"/>
    <x v="0"/>
    <n v="12"/>
    <n v="20"/>
  </r>
  <r>
    <x v="24"/>
    <s v="Bejrut"/>
    <x v="2"/>
    <x v="0"/>
    <n v="15"/>
    <n v="8"/>
  </r>
  <r>
    <x v="24"/>
    <s v="Bejrut"/>
    <x v="1"/>
    <x v="0"/>
    <n v="1"/>
    <n v="40"/>
  </r>
  <r>
    <x v="25"/>
    <s v="Palermo"/>
    <x v="2"/>
    <x v="1"/>
    <n v="86"/>
    <n v="12"/>
  </r>
  <r>
    <x v="25"/>
    <s v="Palermo"/>
    <x v="4"/>
    <x v="1"/>
    <n v="110"/>
    <n v="31"/>
  </r>
  <r>
    <x v="25"/>
    <s v="Palermo"/>
    <x v="1"/>
    <x v="0"/>
    <n v="33"/>
    <n v="38"/>
  </r>
  <r>
    <x v="25"/>
    <s v="Palermo"/>
    <x v="3"/>
    <x v="0"/>
    <n v="13"/>
    <n v="23"/>
  </r>
  <r>
    <x v="25"/>
    <s v="Palermo"/>
    <x v="0"/>
    <x v="0"/>
    <n v="37"/>
    <n v="61"/>
  </r>
  <r>
    <x v="26"/>
    <s v="Neapol"/>
    <x v="2"/>
    <x v="1"/>
    <n v="1"/>
    <n v="12"/>
  </r>
  <r>
    <x v="26"/>
    <s v="Neapol"/>
    <x v="1"/>
    <x v="1"/>
    <n v="68"/>
    <n v="59"/>
  </r>
  <r>
    <x v="26"/>
    <s v="Neapol"/>
    <x v="0"/>
    <x v="0"/>
    <n v="35"/>
    <n v="66"/>
  </r>
  <r>
    <x v="26"/>
    <s v="Neapol"/>
    <x v="4"/>
    <x v="0"/>
    <n v="25"/>
    <n v="21"/>
  </r>
  <r>
    <x v="26"/>
    <s v="Neapol"/>
    <x v="3"/>
    <x v="0"/>
    <n v="10"/>
    <n v="25"/>
  </r>
  <r>
    <x v="27"/>
    <s v="Monako"/>
    <x v="3"/>
    <x v="1"/>
    <n v="38"/>
    <n v="37"/>
  </r>
  <r>
    <x v="27"/>
    <s v="Monako"/>
    <x v="2"/>
    <x v="0"/>
    <n v="22"/>
    <n v="8"/>
  </r>
  <r>
    <x v="27"/>
    <s v="Monako"/>
    <x v="4"/>
    <x v="0"/>
    <n v="25"/>
    <n v="20"/>
  </r>
  <r>
    <x v="27"/>
    <s v="Monako"/>
    <x v="1"/>
    <x v="0"/>
    <n v="8"/>
    <n v="39"/>
  </r>
  <r>
    <x v="27"/>
    <s v="Monako"/>
    <x v="0"/>
    <x v="0"/>
    <n v="45"/>
    <n v="62"/>
  </r>
  <r>
    <x v="28"/>
    <s v="Barcelona"/>
    <x v="0"/>
    <x v="1"/>
    <n v="116"/>
    <n v="100"/>
  </r>
  <r>
    <x v="28"/>
    <s v="Barcelona"/>
    <x v="4"/>
    <x v="0"/>
    <n v="29"/>
    <n v="19"/>
  </r>
  <r>
    <x v="29"/>
    <s v="Walencja"/>
    <x v="3"/>
    <x v="1"/>
    <n v="5"/>
    <n v="34"/>
  </r>
  <r>
    <x v="29"/>
    <s v="Walencja"/>
    <x v="2"/>
    <x v="1"/>
    <n v="22"/>
    <n v="11"/>
  </r>
  <r>
    <x v="29"/>
    <s v="Walencja"/>
    <x v="4"/>
    <x v="0"/>
    <n v="37"/>
    <n v="22"/>
  </r>
  <r>
    <x v="29"/>
    <s v="Walencja"/>
    <x v="0"/>
    <x v="0"/>
    <n v="10"/>
    <n v="70"/>
  </r>
  <r>
    <x v="29"/>
    <s v="Walencja"/>
    <x v="1"/>
    <x v="0"/>
    <n v="42"/>
    <n v="44"/>
  </r>
  <r>
    <x v="30"/>
    <s v="Algier"/>
    <x v="0"/>
    <x v="1"/>
    <n v="11"/>
    <n v="94"/>
  </r>
  <r>
    <x v="30"/>
    <s v="Algier"/>
    <x v="1"/>
    <x v="1"/>
    <n v="48"/>
    <n v="59"/>
  </r>
  <r>
    <x v="30"/>
    <s v="Algier"/>
    <x v="4"/>
    <x v="0"/>
    <n v="20"/>
    <n v="21"/>
  </r>
  <r>
    <x v="30"/>
    <s v="Algier"/>
    <x v="3"/>
    <x v="0"/>
    <n v="26"/>
    <n v="25"/>
  </r>
  <r>
    <x v="31"/>
    <s v="Tunis"/>
    <x v="2"/>
    <x v="0"/>
    <n v="24"/>
    <n v="9"/>
  </r>
  <r>
    <x v="31"/>
    <s v="Tunis"/>
    <x v="0"/>
    <x v="0"/>
    <n v="38"/>
    <n v="68"/>
  </r>
  <r>
    <x v="31"/>
    <s v="Tunis"/>
    <x v="4"/>
    <x v="0"/>
    <n v="14"/>
    <n v="21"/>
  </r>
  <r>
    <x v="31"/>
    <s v="Tunis"/>
    <x v="1"/>
    <x v="0"/>
    <n v="4"/>
    <n v="43"/>
  </r>
  <r>
    <x v="32"/>
    <s v="Benghazi"/>
    <x v="3"/>
    <x v="1"/>
    <n v="19"/>
    <n v="36"/>
  </r>
  <r>
    <x v="32"/>
    <s v="Benghazi"/>
    <x v="0"/>
    <x v="0"/>
    <n v="30"/>
    <n v="65"/>
  </r>
  <r>
    <x v="33"/>
    <s v="Aleksandria"/>
    <x v="1"/>
    <x v="1"/>
    <n v="6"/>
    <n v="63"/>
  </r>
  <r>
    <x v="33"/>
    <s v="Aleksandria"/>
    <x v="0"/>
    <x v="0"/>
    <n v="43"/>
    <n v="59"/>
  </r>
  <r>
    <x v="34"/>
    <s v="Bejrut"/>
    <x v="1"/>
    <x v="1"/>
    <n v="1"/>
    <n v="61"/>
  </r>
  <r>
    <x v="34"/>
    <s v="Bejrut"/>
    <x v="4"/>
    <x v="1"/>
    <n v="147"/>
    <n v="30"/>
  </r>
  <r>
    <x v="34"/>
    <s v="Bejrut"/>
    <x v="2"/>
    <x v="0"/>
    <n v="15"/>
    <n v="8"/>
  </r>
  <r>
    <x v="34"/>
    <s v="Bejrut"/>
    <x v="0"/>
    <x v="0"/>
    <n v="24"/>
    <n v="63"/>
  </r>
  <r>
    <x v="34"/>
    <s v="Bejrut"/>
    <x v="3"/>
    <x v="0"/>
    <n v="19"/>
    <n v="24"/>
  </r>
  <r>
    <x v="35"/>
    <s v="Palermo"/>
    <x v="0"/>
    <x v="1"/>
    <n v="134"/>
    <n v="99"/>
  </r>
  <r>
    <x v="35"/>
    <s v="Palermo"/>
    <x v="1"/>
    <x v="0"/>
    <n v="12"/>
    <n v="38"/>
  </r>
  <r>
    <x v="36"/>
    <s v="Neapol"/>
    <x v="4"/>
    <x v="1"/>
    <n v="4"/>
    <n v="30"/>
  </r>
  <r>
    <x v="36"/>
    <s v="Neapol"/>
    <x v="2"/>
    <x v="0"/>
    <n v="26"/>
    <n v="8"/>
  </r>
  <r>
    <x v="36"/>
    <s v="Neapol"/>
    <x v="0"/>
    <x v="0"/>
    <n v="38"/>
    <n v="66"/>
  </r>
  <r>
    <x v="37"/>
    <s v="Monako"/>
    <x v="0"/>
    <x v="1"/>
    <n v="38"/>
    <n v="98"/>
  </r>
  <r>
    <x v="37"/>
    <s v="Monako"/>
    <x v="3"/>
    <x v="1"/>
    <n v="44"/>
    <n v="37"/>
  </r>
  <r>
    <x v="37"/>
    <s v="Monako"/>
    <x v="2"/>
    <x v="0"/>
    <n v="21"/>
    <n v="8"/>
  </r>
  <r>
    <x v="37"/>
    <s v="Monako"/>
    <x v="1"/>
    <x v="0"/>
    <n v="10"/>
    <n v="39"/>
  </r>
  <r>
    <x v="38"/>
    <s v="Barcelona"/>
    <x v="3"/>
    <x v="1"/>
    <n v="15"/>
    <n v="38"/>
  </r>
  <r>
    <x v="38"/>
    <s v="Barcelona"/>
    <x v="1"/>
    <x v="1"/>
    <n v="22"/>
    <n v="63"/>
  </r>
  <r>
    <x v="38"/>
    <s v="Barcelona"/>
    <x v="0"/>
    <x v="0"/>
    <n v="9"/>
    <n v="60"/>
  </r>
  <r>
    <x v="38"/>
    <s v="Barcelona"/>
    <x v="4"/>
    <x v="0"/>
    <n v="6"/>
    <n v="19"/>
  </r>
  <r>
    <x v="38"/>
    <s v="Barcelona"/>
    <x v="2"/>
    <x v="0"/>
    <n v="4"/>
    <n v="8"/>
  </r>
  <r>
    <x v="39"/>
    <s v="Walencja"/>
    <x v="4"/>
    <x v="1"/>
    <n v="6"/>
    <n v="25"/>
  </r>
  <r>
    <x v="39"/>
    <s v="Walencja"/>
    <x v="0"/>
    <x v="0"/>
    <n v="48"/>
    <n v="79"/>
  </r>
  <r>
    <x v="40"/>
    <s v="Algier"/>
    <x v="1"/>
    <x v="0"/>
    <n v="34"/>
    <n v="42"/>
  </r>
  <r>
    <x v="40"/>
    <s v="Algier"/>
    <x v="3"/>
    <x v="1"/>
    <n v="49"/>
    <n v="35"/>
  </r>
  <r>
    <x v="40"/>
    <s v="Algier"/>
    <x v="2"/>
    <x v="0"/>
    <n v="10"/>
    <n v="8"/>
  </r>
  <r>
    <x v="40"/>
    <s v="Algier"/>
    <x v="4"/>
    <x v="0"/>
    <n v="47"/>
    <n v="21"/>
  </r>
  <r>
    <x v="40"/>
    <s v="Algier"/>
    <x v="0"/>
    <x v="0"/>
    <n v="48"/>
    <n v="66"/>
  </r>
  <r>
    <x v="41"/>
    <s v="Tunis"/>
    <x v="1"/>
    <x v="1"/>
    <n v="34"/>
    <n v="58"/>
  </r>
  <r>
    <x v="41"/>
    <s v="Tunis"/>
    <x v="2"/>
    <x v="0"/>
    <n v="5"/>
    <n v="9"/>
  </r>
  <r>
    <x v="42"/>
    <s v="Benghazi"/>
    <x v="4"/>
    <x v="1"/>
    <n v="46"/>
    <n v="30"/>
  </r>
  <r>
    <x v="42"/>
    <s v="Benghazi"/>
    <x v="0"/>
    <x v="0"/>
    <n v="49"/>
    <n v="65"/>
  </r>
  <r>
    <x v="42"/>
    <s v="Benghazi"/>
    <x v="2"/>
    <x v="0"/>
    <n v="16"/>
    <n v="8"/>
  </r>
  <r>
    <x v="43"/>
    <s v="Aleksandria"/>
    <x v="1"/>
    <x v="0"/>
    <n v="5"/>
    <n v="37"/>
  </r>
  <r>
    <x v="43"/>
    <s v="Aleksandria"/>
    <x v="4"/>
    <x v="1"/>
    <n v="1"/>
    <n v="32"/>
  </r>
  <r>
    <x v="43"/>
    <s v="Aleksandria"/>
    <x v="2"/>
    <x v="0"/>
    <n v="34"/>
    <n v="7"/>
  </r>
  <r>
    <x v="43"/>
    <s v="Aleksandria"/>
    <x v="0"/>
    <x v="0"/>
    <n v="29"/>
    <n v="59"/>
  </r>
  <r>
    <x v="44"/>
    <s v="Bejrut"/>
    <x v="3"/>
    <x v="0"/>
    <n v="34"/>
    <n v="24"/>
  </r>
  <r>
    <x v="44"/>
    <s v="Bejrut"/>
    <x v="4"/>
    <x v="0"/>
    <n v="27"/>
    <n v="20"/>
  </r>
  <r>
    <x v="44"/>
    <s v="Bejrut"/>
    <x v="2"/>
    <x v="0"/>
    <n v="40"/>
    <n v="8"/>
  </r>
  <r>
    <x v="45"/>
    <s v="Palermo"/>
    <x v="0"/>
    <x v="1"/>
    <n v="184"/>
    <n v="99"/>
  </r>
  <r>
    <x v="45"/>
    <s v="Palermo"/>
    <x v="1"/>
    <x v="0"/>
    <n v="48"/>
    <n v="38"/>
  </r>
  <r>
    <x v="45"/>
    <s v="Palermo"/>
    <x v="3"/>
    <x v="0"/>
    <n v="21"/>
    <n v="23"/>
  </r>
  <r>
    <x v="46"/>
    <s v="Neapol"/>
    <x v="0"/>
    <x v="0"/>
    <n v="47"/>
    <n v="66"/>
  </r>
  <r>
    <x v="46"/>
    <s v="Neapol"/>
    <x v="3"/>
    <x v="0"/>
    <n v="6"/>
    <n v="25"/>
  </r>
  <r>
    <x v="46"/>
    <s v="Neapol"/>
    <x v="1"/>
    <x v="0"/>
    <n v="47"/>
    <n v="41"/>
  </r>
  <r>
    <x v="47"/>
    <s v="Monako"/>
    <x v="2"/>
    <x v="1"/>
    <n v="192"/>
    <n v="12"/>
  </r>
  <r>
    <x v="47"/>
    <s v="Monako"/>
    <x v="3"/>
    <x v="1"/>
    <n v="48"/>
    <n v="37"/>
  </r>
  <r>
    <x v="47"/>
    <s v="Monako"/>
    <x v="0"/>
    <x v="0"/>
    <n v="18"/>
    <n v="62"/>
  </r>
  <r>
    <x v="47"/>
    <s v="Monako"/>
    <x v="1"/>
    <x v="0"/>
    <n v="25"/>
    <n v="39"/>
  </r>
  <r>
    <x v="47"/>
    <s v="Monako"/>
    <x v="4"/>
    <x v="0"/>
    <n v="2"/>
    <n v="20"/>
  </r>
  <r>
    <x v="48"/>
    <s v="Barcelona"/>
    <x v="3"/>
    <x v="1"/>
    <n v="13"/>
    <n v="38"/>
  </r>
  <r>
    <x v="48"/>
    <s v="Barcelona"/>
    <x v="1"/>
    <x v="1"/>
    <n v="121"/>
    <n v="63"/>
  </r>
  <r>
    <x v="48"/>
    <s v="Barcelona"/>
    <x v="4"/>
    <x v="0"/>
    <n v="30"/>
    <n v="19"/>
  </r>
  <r>
    <x v="48"/>
    <s v="Barcelona"/>
    <x v="2"/>
    <x v="0"/>
    <n v="46"/>
    <n v="8"/>
  </r>
  <r>
    <x v="49"/>
    <s v="Walencja"/>
    <x v="2"/>
    <x v="1"/>
    <n v="49"/>
    <n v="11"/>
  </r>
  <r>
    <x v="49"/>
    <s v="Walencja"/>
    <x v="0"/>
    <x v="1"/>
    <n v="61"/>
    <n v="90"/>
  </r>
  <r>
    <x v="49"/>
    <s v="Walencja"/>
    <x v="4"/>
    <x v="0"/>
    <n v="19"/>
    <n v="22"/>
  </r>
  <r>
    <x v="49"/>
    <s v="Walencja"/>
    <x v="1"/>
    <x v="0"/>
    <n v="22"/>
    <n v="44"/>
  </r>
  <r>
    <x v="50"/>
    <s v="Algier"/>
    <x v="3"/>
    <x v="0"/>
    <n v="9"/>
    <n v="25"/>
  </r>
  <r>
    <x v="50"/>
    <s v="Algier"/>
    <x v="0"/>
    <x v="1"/>
    <n v="4"/>
    <n v="94"/>
  </r>
  <r>
    <x v="50"/>
    <s v="Algier"/>
    <x v="4"/>
    <x v="0"/>
    <n v="8"/>
    <n v="21"/>
  </r>
  <r>
    <x v="50"/>
    <s v="Algier"/>
    <x v="2"/>
    <x v="0"/>
    <n v="47"/>
    <n v="8"/>
  </r>
  <r>
    <x v="51"/>
    <s v="Tunis"/>
    <x v="4"/>
    <x v="1"/>
    <n v="82"/>
    <n v="29"/>
  </r>
  <r>
    <x v="51"/>
    <s v="Tunis"/>
    <x v="1"/>
    <x v="1"/>
    <n v="26"/>
    <n v="58"/>
  </r>
  <r>
    <x v="51"/>
    <s v="Tunis"/>
    <x v="2"/>
    <x v="0"/>
    <n v="24"/>
    <n v="9"/>
  </r>
  <r>
    <x v="51"/>
    <s v="Tunis"/>
    <x v="3"/>
    <x v="0"/>
    <n v="36"/>
    <n v="26"/>
  </r>
  <r>
    <x v="51"/>
    <s v="Tunis"/>
    <x v="0"/>
    <x v="0"/>
    <n v="6"/>
    <n v="68"/>
  </r>
  <r>
    <x v="52"/>
    <s v="Benghazi"/>
    <x v="3"/>
    <x v="1"/>
    <n v="45"/>
    <n v="36"/>
  </r>
  <r>
    <x v="52"/>
    <s v="Benghazi"/>
    <x v="2"/>
    <x v="0"/>
    <n v="18"/>
    <n v="8"/>
  </r>
  <r>
    <x v="52"/>
    <s v="Benghazi"/>
    <x v="1"/>
    <x v="0"/>
    <n v="20"/>
    <n v="41"/>
  </r>
  <r>
    <x v="53"/>
    <s v="Aleksandria"/>
    <x v="4"/>
    <x v="1"/>
    <n v="4"/>
    <n v="32"/>
  </r>
  <r>
    <x v="53"/>
    <s v="Aleksandria"/>
    <x v="1"/>
    <x v="0"/>
    <n v="48"/>
    <n v="37"/>
  </r>
  <r>
    <x v="54"/>
    <s v="Bejrut"/>
    <x v="1"/>
    <x v="1"/>
    <n v="64"/>
    <n v="61"/>
  </r>
  <r>
    <x v="54"/>
    <s v="Bejrut"/>
    <x v="0"/>
    <x v="0"/>
    <n v="43"/>
    <n v="63"/>
  </r>
  <r>
    <x v="54"/>
    <s v="Bejrut"/>
    <x v="3"/>
    <x v="0"/>
    <n v="24"/>
    <n v="24"/>
  </r>
  <r>
    <x v="55"/>
    <s v="Palermo"/>
    <x v="1"/>
    <x v="1"/>
    <n v="4"/>
    <n v="62"/>
  </r>
  <r>
    <x v="55"/>
    <s v="Palermo"/>
    <x v="4"/>
    <x v="0"/>
    <n v="35"/>
    <n v="19"/>
  </r>
  <r>
    <x v="55"/>
    <s v="Palermo"/>
    <x v="2"/>
    <x v="0"/>
    <n v="41"/>
    <n v="8"/>
  </r>
  <r>
    <x v="55"/>
    <s v="Palermo"/>
    <x v="0"/>
    <x v="0"/>
    <n v="23"/>
    <n v="61"/>
  </r>
  <r>
    <x v="55"/>
    <s v="Palermo"/>
    <x v="3"/>
    <x v="0"/>
    <n v="46"/>
    <n v="23"/>
  </r>
  <r>
    <x v="56"/>
    <m/>
    <x v="5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09EDF-32A5-452F-93F7-9F031FB1BB02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0:J13" firstHeaderRow="1" firstDataRow="2" firstDataCol="1"/>
  <pivotFields count="6">
    <pivotField showAll="0"/>
    <pivotField showAll="0"/>
    <pivotField axis="axisRow" showAll="0">
      <items count="7">
        <item h="1" x="2"/>
        <item h="1" x="3"/>
        <item h="1" x="4"/>
        <item x="0"/>
        <item h="1" x="1"/>
        <item h="1" x="5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dataField="1" showAll="0">
      <items count="69">
        <item x="7"/>
        <item x="31"/>
        <item x="0"/>
        <item x="18"/>
        <item x="16"/>
        <item x="53"/>
        <item x="12"/>
        <item x="10"/>
        <item x="9"/>
        <item x="13"/>
        <item x="33"/>
        <item x="42"/>
        <item x="46"/>
        <item x="5"/>
        <item x="43"/>
        <item x="58"/>
        <item x="30"/>
        <item x="62"/>
        <item x="21"/>
        <item x="51"/>
        <item x="8"/>
        <item x="48"/>
        <item x="32"/>
        <item x="52"/>
        <item x="14"/>
        <item x="37"/>
        <item x="59"/>
        <item x="20"/>
        <item x="50"/>
        <item x="34"/>
        <item x="1"/>
        <item x="3"/>
        <item x="40"/>
        <item x="17"/>
        <item x="15"/>
        <item x="23"/>
        <item x="2"/>
        <item x="38"/>
        <item x="29"/>
        <item x="27"/>
        <item x="19"/>
        <item x="4"/>
        <item x="6"/>
        <item x="28"/>
        <item x="57"/>
        <item x="26"/>
        <item x="24"/>
        <item x="56"/>
        <item x="11"/>
        <item x="64"/>
        <item x="66"/>
        <item x="47"/>
        <item x="22"/>
        <item x="41"/>
        <item x="36"/>
        <item x="65"/>
        <item x="44"/>
        <item x="35"/>
        <item x="45"/>
        <item x="39"/>
        <item x="49"/>
        <item x="63"/>
        <item x="55"/>
        <item x="54"/>
        <item x="60"/>
        <item x="25"/>
        <item x="61"/>
        <item x="67"/>
        <item t="default"/>
      </items>
    </pivotField>
    <pivotField showAll="0"/>
  </pivotFields>
  <rowFields count="1">
    <field x="2"/>
  </rowFields>
  <rowItems count="2">
    <i>
      <x v="3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941EF-A075-4610-8B51-752314AB78C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:J8" firstHeaderRow="1" firstDataRow="2" firstDataCol="1"/>
  <pivotFields count="6"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 v="1"/>
    </i>
    <i t="grand">
      <x/>
    </i>
  </colItems>
  <dataFields count="1">
    <dataField name="Liczba z ile ton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EC6AE-E4E7-456F-8F63-51459DDE96E6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H3:K38" firstHeaderRow="1" firstDataRow="2" firstDataCol="1" rowPageCount="1" colPageCount="1"/>
  <pivotFields count="9"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showAll="0"/>
    <pivotField axis="axisPage" multipleItemSelectionAllowed="1" showAll="0">
      <items count="7">
        <item h="1" x="2"/>
        <item h="1" x="3"/>
        <item h="1" x="4"/>
        <item h="1" x="0"/>
        <item x="1"/>
        <item h="1" x="5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8"/>
    <field x="6"/>
  </rowFields>
  <rowItems count="34"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a z ile ton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1" xr16:uid="{B5EECBDC-C23F-4329-8A0C-DDD4ADA5C91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2" xr16:uid="{EF07C8B1-33D9-448C-B823-BA2875E86DA4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3" xr16:uid="{DF83AA53-13E2-4801-8356-5F1AB27A07F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4" xr16:uid="{65DF7AF8-56E0-48B6-AD4F-1C222DF20E9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5" xr16:uid="{03A384F4-2B34-4779-B96E-551CCB6C1F6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8137-4C5B-44F1-A895-A98DF0E65414}">
  <dimension ref="A1:J203"/>
  <sheetViews>
    <sheetView workbookViewId="0">
      <selection activeCell="J16" sqref="J16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5.88671875" bestFit="1" customWidth="1"/>
    <col min="4" max="4" width="4.44140625" bestFit="1" customWidth="1"/>
    <col min="5" max="5" width="6.109375" bestFit="1" customWidth="1"/>
    <col min="6" max="6" width="20.5546875" bestFit="1" customWidth="1"/>
    <col min="8" max="8" width="16.6640625" bestFit="1" customWidth="1"/>
    <col min="9" max="9" width="17" bestFit="1" customWidth="1"/>
    <col min="10" max="10" width="14" bestFit="1" customWidth="1"/>
    <col min="11" max="11" width="7" bestFit="1" customWidth="1"/>
    <col min="12" max="12" width="14" bestFit="1" customWidth="1"/>
    <col min="13" max="13" width="17" bestFit="1" customWidth="1"/>
    <col min="14" max="14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27</v>
      </c>
      <c r="I1" s="2" t="s">
        <v>23</v>
      </c>
    </row>
    <row r="2" spans="1:10" x14ac:dyDescent="0.3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H2" s="2" t="s">
        <v>25</v>
      </c>
      <c r="I2" t="s">
        <v>8</v>
      </c>
      <c r="J2" t="s">
        <v>24</v>
      </c>
    </row>
    <row r="3" spans="1:10" x14ac:dyDescent="0.3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H3" s="3" t="s">
        <v>10</v>
      </c>
      <c r="I3">
        <v>25</v>
      </c>
      <c r="J3">
        <v>25</v>
      </c>
    </row>
    <row r="4" spans="1:10" x14ac:dyDescent="0.3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H4" s="3" t="s">
        <v>11</v>
      </c>
      <c r="I4">
        <v>25</v>
      </c>
      <c r="J4">
        <v>25</v>
      </c>
    </row>
    <row r="5" spans="1:10" x14ac:dyDescent="0.3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H5" s="3" t="s">
        <v>12</v>
      </c>
      <c r="I5">
        <v>27</v>
      </c>
      <c r="J5">
        <v>27</v>
      </c>
    </row>
    <row r="6" spans="1:10" x14ac:dyDescent="0.3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H6" s="3" t="s">
        <v>7</v>
      </c>
      <c r="I6">
        <v>32</v>
      </c>
      <c r="J6">
        <v>32</v>
      </c>
    </row>
    <row r="7" spans="1:10" x14ac:dyDescent="0.3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H7" s="3" t="s">
        <v>9</v>
      </c>
      <c r="I7">
        <v>27</v>
      </c>
      <c r="J7">
        <v>27</v>
      </c>
    </row>
    <row r="8" spans="1:10" x14ac:dyDescent="0.3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H8" s="3" t="s">
        <v>24</v>
      </c>
      <c r="I8">
        <v>136</v>
      </c>
      <c r="J8">
        <v>136</v>
      </c>
    </row>
    <row r="9" spans="1:10" x14ac:dyDescent="0.3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10" x14ac:dyDescent="0.3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H10" s="2" t="s">
        <v>26</v>
      </c>
      <c r="I10" s="2" t="s">
        <v>23</v>
      </c>
    </row>
    <row r="11" spans="1:10" x14ac:dyDescent="0.3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H11" s="2" t="s">
        <v>25</v>
      </c>
      <c r="I11" t="s">
        <v>8</v>
      </c>
      <c r="J11" t="s">
        <v>24</v>
      </c>
    </row>
    <row r="12" spans="1:10" x14ac:dyDescent="0.3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H12" s="3" t="s">
        <v>7</v>
      </c>
      <c r="I12">
        <v>905</v>
      </c>
      <c r="J12">
        <v>905</v>
      </c>
    </row>
    <row r="13" spans="1:10" x14ac:dyDescent="0.3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H13" s="3" t="s">
        <v>24</v>
      </c>
      <c r="I13">
        <v>905</v>
      </c>
      <c r="J13">
        <v>905</v>
      </c>
    </row>
    <row r="14" spans="1:10" x14ac:dyDescent="0.3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0" x14ac:dyDescent="0.3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H15" t="s">
        <v>28</v>
      </c>
      <c r="I15" t="s">
        <v>29</v>
      </c>
      <c r="J15" t="s">
        <v>30</v>
      </c>
    </row>
    <row r="16" spans="1:10" x14ac:dyDescent="0.3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3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3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3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3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3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3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3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3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3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3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3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3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3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3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3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3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3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3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3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3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3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3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3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3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3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3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3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3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3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3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3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3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3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3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3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3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3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3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3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3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3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3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3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3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3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3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3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3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3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3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3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3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3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3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3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3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3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3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3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3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3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3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3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3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3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3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3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3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3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3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3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3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3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3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3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3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3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3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3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3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3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3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3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3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3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3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3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3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3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3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3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3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3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3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3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3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3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3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3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3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3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3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3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3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3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3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3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3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3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3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3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3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3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3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3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3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3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3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3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3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3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3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3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3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3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3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3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3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3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3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3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3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3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3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3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3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3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3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3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3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3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3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3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3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3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3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3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3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3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3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3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3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3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3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3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3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3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3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3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3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3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3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3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3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3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3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3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3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3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3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3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3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3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3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3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3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3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3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3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3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3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3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3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3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3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3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3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FB06-5143-4E0D-A2AB-F331CF8D2FC1}">
  <dimension ref="A1:K203"/>
  <sheetViews>
    <sheetView workbookViewId="0">
      <selection activeCell="K3" sqref="K3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5.88671875" bestFit="1" customWidth="1"/>
    <col min="4" max="4" width="4.44140625" bestFit="1" customWidth="1"/>
    <col min="5" max="5" width="6.109375" bestFit="1" customWidth="1"/>
    <col min="6" max="6" width="20.5546875" bestFit="1" customWidth="1"/>
    <col min="7" max="7" width="11.6640625" bestFit="1" customWidth="1"/>
    <col min="8" max="9" width="17" bestFit="1" customWidth="1"/>
    <col min="10" max="10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</row>
    <row r="2" spans="1:11" x14ac:dyDescent="0.3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H2">
        <f>IF(G2&gt;20,1,0)</f>
        <v>0</v>
      </c>
      <c r="J2" t="s">
        <v>28</v>
      </c>
      <c r="K2">
        <f>SUM(H:H)</f>
        <v>22</v>
      </c>
    </row>
    <row r="3" spans="1:11" x14ac:dyDescent="0.3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 t="shared" ref="G3:G6" si="0">IF(A2&lt;&gt;A3,_xlfn.DAYS(A3,A2)-1,0)</f>
        <v>0</v>
      </c>
      <c r="H3">
        <f t="shared" ref="H3:H66" si="1">IF(G3&gt;20,1,0)</f>
        <v>0</v>
      </c>
    </row>
    <row r="4" spans="1:11" x14ac:dyDescent="0.3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si="0"/>
        <v>0</v>
      </c>
      <c r="H4">
        <f t="shared" si="1"/>
        <v>0</v>
      </c>
    </row>
    <row r="5" spans="1:11" x14ac:dyDescent="0.3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0</v>
      </c>
      <c r="H5">
        <f t="shared" si="1"/>
        <v>0</v>
      </c>
    </row>
    <row r="6" spans="1:11" x14ac:dyDescent="0.3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0</v>
      </c>
      <c r="H6">
        <f t="shared" si="1"/>
        <v>0</v>
      </c>
    </row>
    <row r="7" spans="1:11" x14ac:dyDescent="0.3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>IF(A6&lt;&gt;A7,_xlfn.DAYS(A7,A6)-1,0)</f>
        <v>14</v>
      </c>
      <c r="H7">
        <f t="shared" si="1"/>
        <v>0</v>
      </c>
    </row>
    <row r="8" spans="1:11" x14ac:dyDescent="0.3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ref="G8:G71" si="2">IF(A7&lt;&gt;A8,_xlfn.DAYS(A8,A7)-1,0)</f>
        <v>0</v>
      </c>
      <c r="H8">
        <f t="shared" si="1"/>
        <v>0</v>
      </c>
    </row>
    <row r="9" spans="1:11" x14ac:dyDescent="0.3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2"/>
        <v>7</v>
      </c>
      <c r="H9">
        <f t="shared" si="1"/>
        <v>0</v>
      </c>
    </row>
    <row r="10" spans="1:11" x14ac:dyDescent="0.3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2"/>
        <v>0</v>
      </c>
      <c r="H10">
        <f t="shared" si="1"/>
        <v>0</v>
      </c>
    </row>
    <row r="11" spans="1:11" x14ac:dyDescent="0.3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2"/>
        <v>0</v>
      </c>
      <c r="H11">
        <f t="shared" si="1"/>
        <v>0</v>
      </c>
    </row>
    <row r="12" spans="1:11" x14ac:dyDescent="0.3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2"/>
        <v>25</v>
      </c>
      <c r="H12">
        <f t="shared" si="1"/>
        <v>1</v>
      </c>
    </row>
    <row r="13" spans="1:11" x14ac:dyDescent="0.3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2"/>
        <v>0</v>
      </c>
      <c r="H13">
        <f t="shared" si="1"/>
        <v>0</v>
      </c>
    </row>
    <row r="14" spans="1:11" x14ac:dyDescent="0.3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2"/>
        <v>0</v>
      </c>
      <c r="H14">
        <f t="shared" si="1"/>
        <v>0</v>
      </c>
    </row>
    <row r="15" spans="1:11" x14ac:dyDescent="0.3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2"/>
        <v>0</v>
      </c>
      <c r="H15">
        <f t="shared" si="1"/>
        <v>0</v>
      </c>
    </row>
    <row r="16" spans="1:11" x14ac:dyDescent="0.3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2"/>
        <v>20</v>
      </c>
      <c r="H16">
        <f t="shared" si="1"/>
        <v>0</v>
      </c>
    </row>
    <row r="17" spans="1:8" x14ac:dyDescent="0.3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2"/>
        <v>0</v>
      </c>
      <c r="H17">
        <f t="shared" si="1"/>
        <v>0</v>
      </c>
    </row>
    <row r="18" spans="1:8" x14ac:dyDescent="0.3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2"/>
        <v>0</v>
      </c>
      <c r="H18">
        <f t="shared" si="1"/>
        <v>0</v>
      </c>
    </row>
    <row r="19" spans="1:8" x14ac:dyDescent="0.3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2"/>
        <v>0</v>
      </c>
      <c r="H19">
        <f t="shared" si="1"/>
        <v>0</v>
      </c>
    </row>
    <row r="20" spans="1:8" x14ac:dyDescent="0.3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2"/>
        <v>23</v>
      </c>
      <c r="H20">
        <f t="shared" si="1"/>
        <v>1</v>
      </c>
    </row>
    <row r="21" spans="1:8" x14ac:dyDescent="0.3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2"/>
        <v>0</v>
      </c>
      <c r="H21">
        <f t="shared" si="1"/>
        <v>0</v>
      </c>
    </row>
    <row r="22" spans="1:8" x14ac:dyDescent="0.3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2"/>
        <v>0</v>
      </c>
      <c r="H22">
        <f t="shared" si="1"/>
        <v>0</v>
      </c>
    </row>
    <row r="23" spans="1:8" x14ac:dyDescent="0.3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2"/>
        <v>17</v>
      </c>
      <c r="H23">
        <f t="shared" si="1"/>
        <v>0</v>
      </c>
    </row>
    <row r="24" spans="1:8" x14ac:dyDescent="0.3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2"/>
        <v>0</v>
      </c>
      <c r="H24">
        <f t="shared" si="1"/>
        <v>0</v>
      </c>
    </row>
    <row r="25" spans="1:8" x14ac:dyDescent="0.3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2"/>
        <v>0</v>
      </c>
      <c r="H25">
        <f t="shared" si="1"/>
        <v>0</v>
      </c>
    </row>
    <row r="26" spans="1:8" x14ac:dyDescent="0.3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2"/>
        <v>21</v>
      </c>
      <c r="H26">
        <f t="shared" si="1"/>
        <v>1</v>
      </c>
    </row>
    <row r="27" spans="1:8" x14ac:dyDescent="0.3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2"/>
        <v>0</v>
      </c>
      <c r="H27">
        <f t="shared" si="1"/>
        <v>0</v>
      </c>
    </row>
    <row r="28" spans="1:8" x14ac:dyDescent="0.3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2"/>
        <v>24</v>
      </c>
      <c r="H28">
        <f t="shared" si="1"/>
        <v>1</v>
      </c>
    </row>
    <row r="29" spans="1:8" x14ac:dyDescent="0.3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2"/>
        <v>0</v>
      </c>
      <c r="H29">
        <f t="shared" si="1"/>
        <v>0</v>
      </c>
    </row>
    <row r="30" spans="1:8" x14ac:dyDescent="0.3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2"/>
        <v>0</v>
      </c>
      <c r="H30">
        <f t="shared" si="1"/>
        <v>0</v>
      </c>
    </row>
    <row r="31" spans="1:8" x14ac:dyDescent="0.3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2"/>
        <v>0</v>
      </c>
      <c r="H31">
        <f t="shared" si="1"/>
        <v>0</v>
      </c>
    </row>
    <row r="32" spans="1:8" x14ac:dyDescent="0.3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2"/>
        <v>12</v>
      </c>
      <c r="H32">
        <f t="shared" si="1"/>
        <v>0</v>
      </c>
    </row>
    <row r="33" spans="1:8" x14ac:dyDescent="0.3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2"/>
        <v>0</v>
      </c>
      <c r="H33">
        <f t="shared" si="1"/>
        <v>0</v>
      </c>
    </row>
    <row r="34" spans="1:8" x14ac:dyDescent="0.3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2"/>
        <v>0</v>
      </c>
      <c r="H34">
        <f t="shared" si="1"/>
        <v>0</v>
      </c>
    </row>
    <row r="35" spans="1:8" x14ac:dyDescent="0.3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2"/>
        <v>0</v>
      </c>
      <c r="H35">
        <f t="shared" si="1"/>
        <v>0</v>
      </c>
    </row>
    <row r="36" spans="1:8" x14ac:dyDescent="0.3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2"/>
        <v>0</v>
      </c>
      <c r="H36">
        <f t="shared" si="1"/>
        <v>0</v>
      </c>
    </row>
    <row r="37" spans="1:8" x14ac:dyDescent="0.3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2"/>
        <v>16</v>
      </c>
      <c r="H37">
        <f t="shared" si="1"/>
        <v>0</v>
      </c>
    </row>
    <row r="38" spans="1:8" x14ac:dyDescent="0.3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2"/>
        <v>0</v>
      </c>
      <c r="H38">
        <f t="shared" si="1"/>
        <v>0</v>
      </c>
    </row>
    <row r="39" spans="1:8" x14ac:dyDescent="0.3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2"/>
        <v>0</v>
      </c>
      <c r="H39">
        <f t="shared" si="1"/>
        <v>0</v>
      </c>
    </row>
    <row r="40" spans="1:8" x14ac:dyDescent="0.3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2"/>
        <v>0</v>
      </c>
      <c r="H40">
        <f t="shared" si="1"/>
        <v>0</v>
      </c>
    </row>
    <row r="41" spans="1:8" x14ac:dyDescent="0.3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2"/>
        <v>14</v>
      </c>
      <c r="H41">
        <f t="shared" si="1"/>
        <v>0</v>
      </c>
    </row>
    <row r="42" spans="1:8" x14ac:dyDescent="0.3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2"/>
        <v>0</v>
      </c>
      <c r="H42">
        <f t="shared" si="1"/>
        <v>0</v>
      </c>
    </row>
    <row r="43" spans="1:8" x14ac:dyDescent="0.3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2"/>
        <v>18</v>
      </c>
      <c r="H43">
        <f t="shared" si="1"/>
        <v>0</v>
      </c>
    </row>
    <row r="44" spans="1:8" x14ac:dyDescent="0.3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2"/>
        <v>0</v>
      </c>
      <c r="H44">
        <f t="shared" si="1"/>
        <v>0</v>
      </c>
    </row>
    <row r="45" spans="1:8" x14ac:dyDescent="0.3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2"/>
        <v>0</v>
      </c>
      <c r="H45">
        <f t="shared" si="1"/>
        <v>0</v>
      </c>
    </row>
    <row r="46" spans="1:8" x14ac:dyDescent="0.3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2"/>
        <v>25</v>
      </c>
      <c r="H46">
        <f t="shared" si="1"/>
        <v>1</v>
      </c>
    </row>
    <row r="47" spans="1:8" x14ac:dyDescent="0.3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2"/>
        <v>0</v>
      </c>
      <c r="H47">
        <f t="shared" si="1"/>
        <v>0</v>
      </c>
    </row>
    <row r="48" spans="1:8" x14ac:dyDescent="0.3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2"/>
        <v>0</v>
      </c>
      <c r="H48">
        <f t="shared" si="1"/>
        <v>0</v>
      </c>
    </row>
    <row r="49" spans="1:8" x14ac:dyDescent="0.3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2"/>
        <v>0</v>
      </c>
      <c r="H49">
        <f t="shared" si="1"/>
        <v>0</v>
      </c>
    </row>
    <row r="50" spans="1:8" x14ac:dyDescent="0.3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2"/>
        <v>0</v>
      </c>
      <c r="H50">
        <f t="shared" si="1"/>
        <v>0</v>
      </c>
    </row>
    <row r="51" spans="1:8" x14ac:dyDescent="0.3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2"/>
        <v>20</v>
      </c>
      <c r="H51">
        <f t="shared" si="1"/>
        <v>0</v>
      </c>
    </row>
    <row r="52" spans="1:8" x14ac:dyDescent="0.3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2"/>
        <v>0</v>
      </c>
      <c r="H52">
        <f t="shared" si="1"/>
        <v>0</v>
      </c>
    </row>
    <row r="53" spans="1:8" x14ac:dyDescent="0.3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2"/>
        <v>0</v>
      </c>
      <c r="H53">
        <f t="shared" si="1"/>
        <v>0</v>
      </c>
    </row>
    <row r="54" spans="1:8" x14ac:dyDescent="0.3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2"/>
        <v>0</v>
      </c>
      <c r="H54">
        <f t="shared" si="1"/>
        <v>0</v>
      </c>
    </row>
    <row r="55" spans="1:8" x14ac:dyDescent="0.3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2"/>
        <v>0</v>
      </c>
      <c r="H55">
        <f t="shared" si="1"/>
        <v>0</v>
      </c>
    </row>
    <row r="56" spans="1:8" x14ac:dyDescent="0.3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2"/>
        <v>23</v>
      </c>
      <c r="H56">
        <f t="shared" si="1"/>
        <v>1</v>
      </c>
    </row>
    <row r="57" spans="1:8" x14ac:dyDescent="0.3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2"/>
        <v>0</v>
      </c>
      <c r="H57">
        <f t="shared" si="1"/>
        <v>0</v>
      </c>
    </row>
    <row r="58" spans="1:8" x14ac:dyDescent="0.3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2"/>
        <v>0</v>
      </c>
      <c r="H58">
        <f t="shared" si="1"/>
        <v>0</v>
      </c>
    </row>
    <row r="59" spans="1:8" x14ac:dyDescent="0.3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2"/>
        <v>17</v>
      </c>
      <c r="H59">
        <f t="shared" si="1"/>
        <v>0</v>
      </c>
    </row>
    <row r="60" spans="1:8" x14ac:dyDescent="0.3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2"/>
        <v>0</v>
      </c>
      <c r="H60">
        <f t="shared" si="1"/>
        <v>0</v>
      </c>
    </row>
    <row r="61" spans="1:8" x14ac:dyDescent="0.3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2"/>
        <v>0</v>
      </c>
      <c r="H61">
        <f t="shared" si="1"/>
        <v>0</v>
      </c>
    </row>
    <row r="62" spans="1:8" x14ac:dyDescent="0.3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2"/>
        <v>21</v>
      </c>
      <c r="H62">
        <f t="shared" si="1"/>
        <v>1</v>
      </c>
    </row>
    <row r="63" spans="1:8" x14ac:dyDescent="0.3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2"/>
        <v>0</v>
      </c>
      <c r="H63">
        <f t="shared" si="1"/>
        <v>0</v>
      </c>
    </row>
    <row r="64" spans="1:8" x14ac:dyDescent="0.3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2"/>
        <v>0</v>
      </c>
      <c r="H64">
        <f t="shared" si="1"/>
        <v>0</v>
      </c>
    </row>
    <row r="65" spans="1:8" x14ac:dyDescent="0.3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2"/>
        <v>0</v>
      </c>
      <c r="H65">
        <f t="shared" si="1"/>
        <v>0</v>
      </c>
    </row>
    <row r="66" spans="1:8" x14ac:dyDescent="0.3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2"/>
        <v>24</v>
      </c>
      <c r="H66">
        <f t="shared" si="1"/>
        <v>1</v>
      </c>
    </row>
    <row r="67" spans="1:8" x14ac:dyDescent="0.3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2"/>
        <v>0</v>
      </c>
      <c r="H67">
        <f t="shared" ref="H67:H130" si="3">IF(G67&gt;20,1,0)</f>
        <v>0</v>
      </c>
    </row>
    <row r="68" spans="1:8" x14ac:dyDescent="0.3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si="2"/>
        <v>0</v>
      </c>
      <c r="H68">
        <f t="shared" si="3"/>
        <v>0</v>
      </c>
    </row>
    <row r="69" spans="1:8" x14ac:dyDescent="0.3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2"/>
        <v>12</v>
      </c>
      <c r="H69">
        <f t="shared" si="3"/>
        <v>0</v>
      </c>
    </row>
    <row r="70" spans="1:8" x14ac:dyDescent="0.3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2"/>
        <v>0</v>
      </c>
      <c r="H70">
        <f t="shared" si="3"/>
        <v>0</v>
      </c>
    </row>
    <row r="71" spans="1:8" x14ac:dyDescent="0.3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2"/>
        <v>0</v>
      </c>
      <c r="H71">
        <f t="shared" si="3"/>
        <v>0</v>
      </c>
    </row>
    <row r="72" spans="1:8" x14ac:dyDescent="0.3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ref="G72:G135" si="4">IF(A71&lt;&gt;A72,_xlfn.DAYS(A72,A71)-1,0)</f>
        <v>0</v>
      </c>
      <c r="H72">
        <f t="shared" si="3"/>
        <v>0</v>
      </c>
    </row>
    <row r="73" spans="1:8" x14ac:dyDescent="0.3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4"/>
        <v>0</v>
      </c>
      <c r="H73">
        <f t="shared" si="3"/>
        <v>0</v>
      </c>
    </row>
    <row r="74" spans="1:8" x14ac:dyDescent="0.3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4"/>
        <v>16</v>
      </c>
      <c r="H74">
        <f t="shared" si="3"/>
        <v>0</v>
      </c>
    </row>
    <row r="75" spans="1:8" x14ac:dyDescent="0.3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4"/>
        <v>0</v>
      </c>
      <c r="H75">
        <f t="shared" si="3"/>
        <v>0</v>
      </c>
    </row>
    <row r="76" spans="1:8" x14ac:dyDescent="0.3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4"/>
        <v>0</v>
      </c>
      <c r="H76">
        <f t="shared" si="3"/>
        <v>0</v>
      </c>
    </row>
    <row r="77" spans="1:8" x14ac:dyDescent="0.3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4"/>
        <v>14</v>
      </c>
      <c r="H77">
        <f t="shared" si="3"/>
        <v>0</v>
      </c>
    </row>
    <row r="78" spans="1:8" x14ac:dyDescent="0.3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4"/>
        <v>0</v>
      </c>
      <c r="H78">
        <f t="shared" si="3"/>
        <v>0</v>
      </c>
    </row>
    <row r="79" spans="1:8" x14ac:dyDescent="0.3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4"/>
        <v>18</v>
      </c>
      <c r="H79">
        <f t="shared" si="3"/>
        <v>0</v>
      </c>
    </row>
    <row r="80" spans="1:8" x14ac:dyDescent="0.3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4"/>
        <v>0</v>
      </c>
      <c r="H80">
        <f t="shared" si="3"/>
        <v>0</v>
      </c>
    </row>
    <row r="81" spans="1:8" x14ac:dyDescent="0.3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4"/>
        <v>0</v>
      </c>
      <c r="H81">
        <f t="shared" si="3"/>
        <v>0</v>
      </c>
    </row>
    <row r="82" spans="1:8" x14ac:dyDescent="0.3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4"/>
        <v>0</v>
      </c>
      <c r="H82">
        <f t="shared" si="3"/>
        <v>0</v>
      </c>
    </row>
    <row r="83" spans="1:8" x14ac:dyDescent="0.3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4"/>
        <v>25</v>
      </c>
      <c r="H83">
        <f t="shared" si="3"/>
        <v>1</v>
      </c>
    </row>
    <row r="84" spans="1:8" x14ac:dyDescent="0.3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4"/>
        <v>0</v>
      </c>
      <c r="H84">
        <f t="shared" si="3"/>
        <v>0</v>
      </c>
    </row>
    <row r="85" spans="1:8" x14ac:dyDescent="0.3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4"/>
        <v>0</v>
      </c>
      <c r="H85">
        <f t="shared" si="3"/>
        <v>0</v>
      </c>
    </row>
    <row r="86" spans="1:8" x14ac:dyDescent="0.3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4"/>
        <v>20</v>
      </c>
      <c r="H86">
        <f t="shared" si="3"/>
        <v>0</v>
      </c>
    </row>
    <row r="87" spans="1:8" x14ac:dyDescent="0.3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4"/>
        <v>0</v>
      </c>
      <c r="H87">
        <f t="shared" si="3"/>
        <v>0</v>
      </c>
    </row>
    <row r="88" spans="1:8" x14ac:dyDescent="0.3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4"/>
        <v>0</v>
      </c>
      <c r="H88">
        <f t="shared" si="3"/>
        <v>0</v>
      </c>
    </row>
    <row r="89" spans="1:8" x14ac:dyDescent="0.3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4"/>
        <v>0</v>
      </c>
      <c r="H89">
        <f t="shared" si="3"/>
        <v>0</v>
      </c>
    </row>
    <row r="90" spans="1:8" x14ac:dyDescent="0.3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4"/>
        <v>0</v>
      </c>
      <c r="H90">
        <f t="shared" si="3"/>
        <v>0</v>
      </c>
    </row>
    <row r="91" spans="1:8" x14ac:dyDescent="0.3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4"/>
        <v>23</v>
      </c>
      <c r="H91">
        <f t="shared" si="3"/>
        <v>1</v>
      </c>
    </row>
    <row r="92" spans="1:8" x14ac:dyDescent="0.3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4"/>
        <v>0</v>
      </c>
      <c r="H92">
        <f t="shared" si="3"/>
        <v>0</v>
      </c>
    </row>
    <row r="93" spans="1:8" x14ac:dyDescent="0.3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4"/>
        <v>0</v>
      </c>
      <c r="H93">
        <f t="shared" si="3"/>
        <v>0</v>
      </c>
    </row>
    <row r="94" spans="1:8" x14ac:dyDescent="0.3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4"/>
        <v>0</v>
      </c>
      <c r="H94">
        <f t="shared" si="3"/>
        <v>0</v>
      </c>
    </row>
    <row r="95" spans="1:8" x14ac:dyDescent="0.3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4"/>
        <v>0</v>
      </c>
      <c r="H95">
        <f t="shared" si="3"/>
        <v>0</v>
      </c>
    </row>
    <row r="96" spans="1:8" x14ac:dyDescent="0.3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4"/>
        <v>17</v>
      </c>
      <c r="H96">
        <f t="shared" si="3"/>
        <v>0</v>
      </c>
    </row>
    <row r="97" spans="1:8" x14ac:dyDescent="0.3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4"/>
        <v>0</v>
      </c>
      <c r="H97">
        <f t="shared" si="3"/>
        <v>0</v>
      </c>
    </row>
    <row r="98" spans="1:8" x14ac:dyDescent="0.3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4"/>
        <v>0</v>
      </c>
      <c r="H98">
        <f t="shared" si="3"/>
        <v>0</v>
      </c>
    </row>
    <row r="99" spans="1:8" x14ac:dyDescent="0.3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4"/>
        <v>0</v>
      </c>
      <c r="H99">
        <f t="shared" si="3"/>
        <v>0</v>
      </c>
    </row>
    <row r="100" spans="1:8" x14ac:dyDescent="0.3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4"/>
        <v>0</v>
      </c>
      <c r="H100">
        <f t="shared" si="3"/>
        <v>0</v>
      </c>
    </row>
    <row r="101" spans="1:8" x14ac:dyDescent="0.3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4"/>
        <v>21</v>
      </c>
      <c r="H101">
        <f t="shared" si="3"/>
        <v>1</v>
      </c>
    </row>
    <row r="102" spans="1:8" x14ac:dyDescent="0.3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4"/>
        <v>0</v>
      </c>
      <c r="H102">
        <f t="shared" si="3"/>
        <v>0</v>
      </c>
    </row>
    <row r="103" spans="1:8" x14ac:dyDescent="0.3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4"/>
        <v>0</v>
      </c>
      <c r="H103">
        <f t="shared" si="3"/>
        <v>0</v>
      </c>
    </row>
    <row r="104" spans="1:8" x14ac:dyDescent="0.3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4"/>
        <v>0</v>
      </c>
      <c r="H104">
        <f t="shared" si="3"/>
        <v>0</v>
      </c>
    </row>
    <row r="105" spans="1:8" x14ac:dyDescent="0.3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4"/>
        <v>0</v>
      </c>
      <c r="H105">
        <f t="shared" si="3"/>
        <v>0</v>
      </c>
    </row>
    <row r="106" spans="1:8" x14ac:dyDescent="0.3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4"/>
        <v>24</v>
      </c>
      <c r="H106">
        <f t="shared" si="3"/>
        <v>1</v>
      </c>
    </row>
    <row r="107" spans="1:8" x14ac:dyDescent="0.3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4"/>
        <v>0</v>
      </c>
      <c r="H107">
        <f t="shared" si="3"/>
        <v>0</v>
      </c>
    </row>
    <row r="108" spans="1:8" x14ac:dyDescent="0.3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4"/>
        <v>12</v>
      </c>
      <c r="H108">
        <f t="shared" si="3"/>
        <v>0</v>
      </c>
    </row>
    <row r="109" spans="1:8" x14ac:dyDescent="0.3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4"/>
        <v>0</v>
      </c>
      <c r="H109">
        <f t="shared" si="3"/>
        <v>0</v>
      </c>
    </row>
    <row r="110" spans="1:8" x14ac:dyDescent="0.3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4"/>
        <v>0</v>
      </c>
      <c r="H110">
        <f t="shared" si="3"/>
        <v>0</v>
      </c>
    </row>
    <row r="111" spans="1:8" x14ac:dyDescent="0.3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4"/>
        <v>0</v>
      </c>
      <c r="H111">
        <f t="shared" si="3"/>
        <v>0</v>
      </c>
    </row>
    <row r="112" spans="1:8" x14ac:dyDescent="0.3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4"/>
        <v>0</v>
      </c>
      <c r="H112">
        <f t="shared" si="3"/>
        <v>0</v>
      </c>
    </row>
    <row r="113" spans="1:8" x14ac:dyDescent="0.3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4"/>
        <v>16</v>
      </c>
      <c r="H113">
        <f t="shared" si="3"/>
        <v>0</v>
      </c>
    </row>
    <row r="114" spans="1:8" x14ac:dyDescent="0.3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4"/>
        <v>0</v>
      </c>
      <c r="H114">
        <f t="shared" si="3"/>
        <v>0</v>
      </c>
    </row>
    <row r="115" spans="1:8" x14ac:dyDescent="0.3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4"/>
        <v>0</v>
      </c>
      <c r="H115">
        <f t="shared" si="3"/>
        <v>0</v>
      </c>
    </row>
    <row r="116" spans="1:8" x14ac:dyDescent="0.3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4"/>
        <v>0</v>
      </c>
      <c r="H116">
        <f t="shared" si="3"/>
        <v>0</v>
      </c>
    </row>
    <row r="117" spans="1:8" x14ac:dyDescent="0.3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4"/>
        <v>14</v>
      </c>
      <c r="H117">
        <f t="shared" si="3"/>
        <v>0</v>
      </c>
    </row>
    <row r="118" spans="1:8" x14ac:dyDescent="0.3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4"/>
        <v>0</v>
      </c>
      <c r="H118">
        <f t="shared" si="3"/>
        <v>0</v>
      </c>
    </row>
    <row r="119" spans="1:8" x14ac:dyDescent="0.3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4"/>
        <v>0</v>
      </c>
      <c r="H119">
        <f t="shared" si="3"/>
        <v>0</v>
      </c>
    </row>
    <row r="120" spans="1:8" x14ac:dyDescent="0.3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4"/>
        <v>0</v>
      </c>
      <c r="H120">
        <f t="shared" si="3"/>
        <v>0</v>
      </c>
    </row>
    <row r="121" spans="1:8" x14ac:dyDescent="0.3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4"/>
        <v>18</v>
      </c>
      <c r="H121">
        <f t="shared" si="3"/>
        <v>0</v>
      </c>
    </row>
    <row r="122" spans="1:8" x14ac:dyDescent="0.3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4"/>
        <v>0</v>
      </c>
      <c r="H122">
        <f t="shared" si="3"/>
        <v>0</v>
      </c>
    </row>
    <row r="123" spans="1:8" x14ac:dyDescent="0.3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4"/>
        <v>25</v>
      </c>
      <c r="H123">
        <f t="shared" si="3"/>
        <v>1</v>
      </c>
    </row>
    <row r="124" spans="1:8" x14ac:dyDescent="0.3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4"/>
        <v>0</v>
      </c>
      <c r="H124">
        <f t="shared" si="3"/>
        <v>0</v>
      </c>
    </row>
    <row r="125" spans="1:8" x14ac:dyDescent="0.3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4"/>
        <v>20</v>
      </c>
      <c r="H125">
        <f t="shared" si="3"/>
        <v>0</v>
      </c>
    </row>
    <row r="126" spans="1:8" x14ac:dyDescent="0.3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4"/>
        <v>0</v>
      </c>
      <c r="H126">
        <f t="shared" si="3"/>
        <v>0</v>
      </c>
    </row>
    <row r="127" spans="1:8" x14ac:dyDescent="0.3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4"/>
        <v>0</v>
      </c>
      <c r="H127">
        <f t="shared" si="3"/>
        <v>0</v>
      </c>
    </row>
    <row r="128" spans="1:8" x14ac:dyDescent="0.3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4"/>
        <v>0</v>
      </c>
      <c r="H128">
        <f t="shared" si="3"/>
        <v>0</v>
      </c>
    </row>
    <row r="129" spans="1:8" x14ac:dyDescent="0.3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4"/>
        <v>0</v>
      </c>
      <c r="H129">
        <f t="shared" si="3"/>
        <v>0</v>
      </c>
    </row>
    <row r="130" spans="1:8" x14ac:dyDescent="0.3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4"/>
        <v>23</v>
      </c>
      <c r="H130">
        <f t="shared" si="3"/>
        <v>1</v>
      </c>
    </row>
    <row r="131" spans="1:8" x14ac:dyDescent="0.3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4"/>
        <v>0</v>
      </c>
      <c r="H131">
        <f t="shared" ref="H131:H194" si="5">IF(G131&gt;20,1,0)</f>
        <v>0</v>
      </c>
    </row>
    <row r="132" spans="1:8" x14ac:dyDescent="0.3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si="4"/>
        <v>17</v>
      </c>
      <c r="H132">
        <f t="shared" si="5"/>
        <v>0</v>
      </c>
    </row>
    <row r="133" spans="1:8" x14ac:dyDescent="0.3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4"/>
        <v>0</v>
      </c>
      <c r="H133">
        <f t="shared" si="5"/>
        <v>0</v>
      </c>
    </row>
    <row r="134" spans="1:8" x14ac:dyDescent="0.3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4"/>
        <v>0</v>
      </c>
      <c r="H134">
        <f t="shared" si="5"/>
        <v>0</v>
      </c>
    </row>
    <row r="135" spans="1:8" x14ac:dyDescent="0.3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4"/>
        <v>21</v>
      </c>
      <c r="H135">
        <f t="shared" si="5"/>
        <v>1</v>
      </c>
    </row>
    <row r="136" spans="1:8" x14ac:dyDescent="0.3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ref="G136:G199" si="6">IF(A135&lt;&gt;A136,_xlfn.DAYS(A136,A135)-1,0)</f>
        <v>0</v>
      </c>
      <c r="H136">
        <f t="shared" si="5"/>
        <v>0</v>
      </c>
    </row>
    <row r="137" spans="1:8" x14ac:dyDescent="0.3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6"/>
        <v>0</v>
      </c>
      <c r="H137">
        <f t="shared" si="5"/>
        <v>0</v>
      </c>
    </row>
    <row r="138" spans="1:8" x14ac:dyDescent="0.3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6"/>
        <v>0</v>
      </c>
      <c r="H138">
        <f t="shared" si="5"/>
        <v>0</v>
      </c>
    </row>
    <row r="139" spans="1:8" x14ac:dyDescent="0.3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6"/>
        <v>24</v>
      </c>
      <c r="H139">
        <f t="shared" si="5"/>
        <v>1</v>
      </c>
    </row>
    <row r="140" spans="1:8" x14ac:dyDescent="0.3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6"/>
        <v>0</v>
      </c>
      <c r="H140">
        <f t="shared" si="5"/>
        <v>0</v>
      </c>
    </row>
    <row r="141" spans="1:8" x14ac:dyDescent="0.3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6"/>
        <v>0</v>
      </c>
      <c r="H141">
        <f t="shared" si="5"/>
        <v>0</v>
      </c>
    </row>
    <row r="142" spans="1:8" x14ac:dyDescent="0.3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6"/>
        <v>0</v>
      </c>
      <c r="H142">
        <f t="shared" si="5"/>
        <v>0</v>
      </c>
    </row>
    <row r="143" spans="1:8" x14ac:dyDescent="0.3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6"/>
        <v>0</v>
      </c>
      <c r="H143">
        <f t="shared" si="5"/>
        <v>0</v>
      </c>
    </row>
    <row r="144" spans="1:8" x14ac:dyDescent="0.3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6"/>
        <v>0</v>
      </c>
      <c r="H144">
        <f t="shared" si="5"/>
        <v>0</v>
      </c>
    </row>
    <row r="145" spans="1:8" x14ac:dyDescent="0.3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6"/>
        <v>0</v>
      </c>
      <c r="H145">
        <f t="shared" si="5"/>
        <v>0</v>
      </c>
    </row>
    <row r="146" spans="1:8" x14ac:dyDescent="0.3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6"/>
        <v>16</v>
      </c>
      <c r="H146">
        <f t="shared" si="5"/>
        <v>0</v>
      </c>
    </row>
    <row r="147" spans="1:8" x14ac:dyDescent="0.3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6"/>
        <v>0</v>
      </c>
      <c r="H147">
        <f t="shared" si="5"/>
        <v>0</v>
      </c>
    </row>
    <row r="148" spans="1:8" x14ac:dyDescent="0.3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6"/>
        <v>0</v>
      </c>
      <c r="H148">
        <f t="shared" si="5"/>
        <v>0</v>
      </c>
    </row>
    <row r="149" spans="1:8" x14ac:dyDescent="0.3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6"/>
        <v>0</v>
      </c>
      <c r="H149">
        <f t="shared" si="5"/>
        <v>0</v>
      </c>
    </row>
    <row r="150" spans="1:8" x14ac:dyDescent="0.3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6"/>
        <v>0</v>
      </c>
      <c r="H150">
        <f t="shared" si="5"/>
        <v>0</v>
      </c>
    </row>
    <row r="151" spans="1:8" x14ac:dyDescent="0.3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6"/>
        <v>14</v>
      </c>
      <c r="H151">
        <f t="shared" si="5"/>
        <v>0</v>
      </c>
    </row>
    <row r="152" spans="1:8" x14ac:dyDescent="0.3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6"/>
        <v>0</v>
      </c>
      <c r="H152">
        <f t="shared" si="5"/>
        <v>0</v>
      </c>
    </row>
    <row r="153" spans="1:8" x14ac:dyDescent="0.3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6"/>
        <v>18</v>
      </c>
      <c r="H153">
        <f t="shared" si="5"/>
        <v>0</v>
      </c>
    </row>
    <row r="154" spans="1:8" x14ac:dyDescent="0.3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6"/>
        <v>0</v>
      </c>
      <c r="H154">
        <f t="shared" si="5"/>
        <v>0</v>
      </c>
    </row>
    <row r="155" spans="1:8" x14ac:dyDescent="0.3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6"/>
        <v>0</v>
      </c>
      <c r="H155">
        <f t="shared" si="5"/>
        <v>0</v>
      </c>
    </row>
    <row r="156" spans="1:8" x14ac:dyDescent="0.3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6"/>
        <v>25</v>
      </c>
      <c r="H156">
        <f t="shared" si="5"/>
        <v>1</v>
      </c>
    </row>
    <row r="157" spans="1:8" x14ac:dyDescent="0.3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6"/>
        <v>0</v>
      </c>
      <c r="H157">
        <f t="shared" si="5"/>
        <v>0</v>
      </c>
    </row>
    <row r="158" spans="1:8" x14ac:dyDescent="0.3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6"/>
        <v>0</v>
      </c>
      <c r="H158">
        <f t="shared" si="5"/>
        <v>0</v>
      </c>
    </row>
    <row r="159" spans="1:8" x14ac:dyDescent="0.3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6"/>
        <v>0</v>
      </c>
      <c r="H159">
        <f t="shared" si="5"/>
        <v>0</v>
      </c>
    </row>
    <row r="160" spans="1:8" x14ac:dyDescent="0.3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6"/>
        <v>20</v>
      </c>
      <c r="H160">
        <f t="shared" si="5"/>
        <v>0</v>
      </c>
    </row>
    <row r="161" spans="1:8" x14ac:dyDescent="0.3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6"/>
        <v>0</v>
      </c>
      <c r="H161">
        <f t="shared" si="5"/>
        <v>0</v>
      </c>
    </row>
    <row r="162" spans="1:8" x14ac:dyDescent="0.3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6"/>
        <v>0</v>
      </c>
      <c r="H162">
        <f t="shared" si="5"/>
        <v>0</v>
      </c>
    </row>
    <row r="163" spans="1:8" x14ac:dyDescent="0.3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6"/>
        <v>23</v>
      </c>
      <c r="H163">
        <f t="shared" si="5"/>
        <v>1</v>
      </c>
    </row>
    <row r="164" spans="1:8" x14ac:dyDescent="0.3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6"/>
        <v>0</v>
      </c>
      <c r="H164">
        <f t="shared" si="5"/>
        <v>0</v>
      </c>
    </row>
    <row r="165" spans="1:8" x14ac:dyDescent="0.3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6"/>
        <v>0</v>
      </c>
      <c r="H165">
        <f t="shared" si="5"/>
        <v>0</v>
      </c>
    </row>
    <row r="166" spans="1:8" x14ac:dyDescent="0.3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6"/>
        <v>17</v>
      </c>
      <c r="H166">
        <f t="shared" si="5"/>
        <v>0</v>
      </c>
    </row>
    <row r="167" spans="1:8" x14ac:dyDescent="0.3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6"/>
        <v>0</v>
      </c>
      <c r="H167">
        <f t="shared" si="5"/>
        <v>0</v>
      </c>
    </row>
    <row r="168" spans="1:8" x14ac:dyDescent="0.3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6"/>
        <v>0</v>
      </c>
      <c r="H168">
        <f t="shared" si="5"/>
        <v>0</v>
      </c>
    </row>
    <row r="169" spans="1:8" x14ac:dyDescent="0.3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6"/>
        <v>21</v>
      </c>
      <c r="H169">
        <f t="shared" si="5"/>
        <v>1</v>
      </c>
    </row>
    <row r="170" spans="1:8" x14ac:dyDescent="0.3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6"/>
        <v>0</v>
      </c>
      <c r="H170">
        <f t="shared" si="5"/>
        <v>0</v>
      </c>
    </row>
    <row r="171" spans="1:8" x14ac:dyDescent="0.3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6"/>
        <v>0</v>
      </c>
      <c r="H171">
        <f t="shared" si="5"/>
        <v>0</v>
      </c>
    </row>
    <row r="172" spans="1:8" x14ac:dyDescent="0.3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6"/>
        <v>0</v>
      </c>
      <c r="H172">
        <f t="shared" si="5"/>
        <v>0</v>
      </c>
    </row>
    <row r="173" spans="1:8" x14ac:dyDescent="0.3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6"/>
        <v>0</v>
      </c>
      <c r="H173">
        <f t="shared" si="5"/>
        <v>0</v>
      </c>
    </row>
    <row r="174" spans="1:8" x14ac:dyDescent="0.3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6"/>
        <v>24</v>
      </c>
      <c r="H174">
        <f t="shared" si="5"/>
        <v>1</v>
      </c>
    </row>
    <row r="175" spans="1:8" x14ac:dyDescent="0.3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6"/>
        <v>0</v>
      </c>
      <c r="H175">
        <f t="shared" si="5"/>
        <v>0</v>
      </c>
    </row>
    <row r="176" spans="1:8" x14ac:dyDescent="0.3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6"/>
        <v>0</v>
      </c>
      <c r="H176">
        <f t="shared" si="5"/>
        <v>0</v>
      </c>
    </row>
    <row r="177" spans="1:8" x14ac:dyDescent="0.3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6"/>
        <v>0</v>
      </c>
      <c r="H177">
        <f t="shared" si="5"/>
        <v>0</v>
      </c>
    </row>
    <row r="178" spans="1:8" x14ac:dyDescent="0.3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6"/>
        <v>12</v>
      </c>
      <c r="H178">
        <f t="shared" si="5"/>
        <v>0</v>
      </c>
    </row>
    <row r="179" spans="1:8" x14ac:dyDescent="0.3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6"/>
        <v>0</v>
      </c>
      <c r="H179">
        <f t="shared" si="5"/>
        <v>0</v>
      </c>
    </row>
    <row r="180" spans="1:8" x14ac:dyDescent="0.3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6"/>
        <v>0</v>
      </c>
      <c r="H180">
        <f t="shared" si="5"/>
        <v>0</v>
      </c>
    </row>
    <row r="181" spans="1:8" x14ac:dyDescent="0.3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6"/>
        <v>0</v>
      </c>
      <c r="H181">
        <f t="shared" si="5"/>
        <v>0</v>
      </c>
    </row>
    <row r="182" spans="1:8" x14ac:dyDescent="0.3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6"/>
        <v>16</v>
      </c>
      <c r="H182">
        <f t="shared" si="5"/>
        <v>0</v>
      </c>
    </row>
    <row r="183" spans="1:8" x14ac:dyDescent="0.3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6"/>
        <v>0</v>
      </c>
      <c r="H183">
        <f t="shared" si="5"/>
        <v>0</v>
      </c>
    </row>
    <row r="184" spans="1:8" x14ac:dyDescent="0.3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6"/>
        <v>0</v>
      </c>
      <c r="H184">
        <f t="shared" si="5"/>
        <v>0</v>
      </c>
    </row>
    <row r="185" spans="1:8" x14ac:dyDescent="0.3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6"/>
        <v>0</v>
      </c>
      <c r="H185">
        <f t="shared" si="5"/>
        <v>0</v>
      </c>
    </row>
    <row r="186" spans="1:8" x14ac:dyDescent="0.3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6"/>
        <v>14</v>
      </c>
      <c r="H186">
        <f t="shared" si="5"/>
        <v>0</v>
      </c>
    </row>
    <row r="187" spans="1:8" x14ac:dyDescent="0.3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6"/>
        <v>0</v>
      </c>
      <c r="H187">
        <f t="shared" si="5"/>
        <v>0</v>
      </c>
    </row>
    <row r="188" spans="1:8" x14ac:dyDescent="0.3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6"/>
        <v>0</v>
      </c>
      <c r="H188">
        <f t="shared" si="5"/>
        <v>0</v>
      </c>
    </row>
    <row r="189" spans="1:8" x14ac:dyDescent="0.3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6"/>
        <v>0</v>
      </c>
      <c r="H189">
        <f t="shared" si="5"/>
        <v>0</v>
      </c>
    </row>
    <row r="190" spans="1:8" x14ac:dyDescent="0.3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6"/>
        <v>0</v>
      </c>
      <c r="H190">
        <f t="shared" si="5"/>
        <v>0</v>
      </c>
    </row>
    <row r="191" spans="1:8" x14ac:dyDescent="0.3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6"/>
        <v>18</v>
      </c>
      <c r="H191">
        <f t="shared" si="5"/>
        <v>0</v>
      </c>
    </row>
    <row r="192" spans="1:8" x14ac:dyDescent="0.3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6"/>
        <v>0</v>
      </c>
      <c r="H192">
        <f t="shared" si="5"/>
        <v>0</v>
      </c>
    </row>
    <row r="193" spans="1:8" x14ac:dyDescent="0.3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6"/>
        <v>0</v>
      </c>
      <c r="H193">
        <f t="shared" si="5"/>
        <v>0</v>
      </c>
    </row>
    <row r="194" spans="1:8" x14ac:dyDescent="0.3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6"/>
        <v>25</v>
      </c>
      <c r="H194">
        <f t="shared" si="5"/>
        <v>1</v>
      </c>
    </row>
    <row r="195" spans="1:8" x14ac:dyDescent="0.3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6"/>
        <v>0</v>
      </c>
      <c r="H195">
        <f t="shared" ref="H195:H203" si="7">IF(G195&gt;20,1,0)</f>
        <v>0</v>
      </c>
    </row>
    <row r="196" spans="1:8" x14ac:dyDescent="0.3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si="6"/>
        <v>20</v>
      </c>
      <c r="H196">
        <f t="shared" si="7"/>
        <v>0</v>
      </c>
    </row>
    <row r="197" spans="1:8" x14ac:dyDescent="0.3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6"/>
        <v>0</v>
      </c>
      <c r="H197">
        <f t="shared" si="7"/>
        <v>0</v>
      </c>
    </row>
    <row r="198" spans="1:8" x14ac:dyDescent="0.3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6"/>
        <v>0</v>
      </c>
      <c r="H198">
        <f t="shared" si="7"/>
        <v>0</v>
      </c>
    </row>
    <row r="199" spans="1:8" x14ac:dyDescent="0.3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6"/>
        <v>23</v>
      </c>
      <c r="H199">
        <f t="shared" si="7"/>
        <v>1</v>
      </c>
    </row>
    <row r="200" spans="1:8" x14ac:dyDescent="0.3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ref="G200:G203" si="8">IF(A199&lt;&gt;A200,_xlfn.DAYS(A200,A199)-1,0)</f>
        <v>0</v>
      </c>
      <c r="H200">
        <f t="shared" si="7"/>
        <v>0</v>
      </c>
    </row>
    <row r="201" spans="1:8" x14ac:dyDescent="0.3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8"/>
        <v>0</v>
      </c>
      <c r="H201">
        <f t="shared" si="7"/>
        <v>0</v>
      </c>
    </row>
    <row r="202" spans="1:8" x14ac:dyDescent="0.3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8"/>
        <v>0</v>
      </c>
      <c r="H202">
        <f t="shared" si="7"/>
        <v>0</v>
      </c>
    </row>
    <row r="203" spans="1:8" x14ac:dyDescent="0.3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8"/>
        <v>0</v>
      </c>
      <c r="H203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AB96-AEC6-47B9-8B18-D9F879111A27}">
  <dimension ref="A1:Q203"/>
  <sheetViews>
    <sheetView workbookViewId="0">
      <selection activeCell="Q4" sqref="Q4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5.88671875" bestFit="1" customWidth="1"/>
    <col min="4" max="4" width="4.44140625" bestFit="1" customWidth="1"/>
    <col min="5" max="5" width="6.109375" bestFit="1" customWidth="1"/>
    <col min="6" max="6" width="20.5546875" bestFit="1" customWidth="1"/>
    <col min="8" max="9" width="17" bestFit="1" customWidth="1"/>
    <col min="10" max="10" width="14" bestFit="1" customWidth="1"/>
    <col min="15" max="15" width="10.109375" bestFit="1" customWidth="1"/>
    <col min="16" max="16" width="14.21875" bestFit="1" customWidth="1"/>
    <col min="17" max="17" width="13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7" x14ac:dyDescent="0.3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H2">
        <v>0</v>
      </c>
      <c r="I2">
        <v>0</v>
      </c>
      <c r="J2">
        <v>3</v>
      </c>
      <c r="K2">
        <v>0</v>
      </c>
      <c r="N2" t="s">
        <v>28</v>
      </c>
      <c r="O2" s="1">
        <v>42401</v>
      </c>
      <c r="P2" t="s">
        <v>40</v>
      </c>
      <c r="Q2" t="s">
        <v>38</v>
      </c>
    </row>
    <row r="3" spans="1:17" x14ac:dyDescent="0.3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IF($C3="T1",IF($D3="Z",G2+$E3,G2-$E3),G2)</f>
        <v>0</v>
      </c>
      <c r="H3">
        <f>IF($C3="T2",IF($D3="Z",H2+$E3,H2-$E3),H2)</f>
        <v>0</v>
      </c>
      <c r="I3">
        <f>IF($C3="T3",IF($D3="Z",I2+$E3,I2-$E3),I2)</f>
        <v>0</v>
      </c>
      <c r="J3">
        <f>IF($C3="T4",IF($D3="Z",J2+$E3,J2-$E3),J2)</f>
        <v>3</v>
      </c>
      <c r="K3">
        <f>IF($C3="T5",IF($D3="Z",K2+$E3,K2-$E3),K2)</f>
        <v>32</v>
      </c>
      <c r="O3" s="1">
        <v>43313</v>
      </c>
      <c r="P3" t="s">
        <v>39</v>
      </c>
      <c r="Q3" t="s">
        <v>41</v>
      </c>
    </row>
    <row r="4" spans="1:17" x14ac:dyDescent="0.3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IF($C4="T1",IF($D4="Z",G3+$E4,G3-$E4),G3)</f>
        <v>38</v>
      </c>
      <c r="H4">
        <f t="shared" ref="H4:H67" si="1">IF($C4="T2",IF($D4="Z",H3+$E4,H3-$E4),H3)</f>
        <v>0</v>
      </c>
      <c r="I4">
        <f t="shared" ref="I4:I67" si="2">IF($C4="T3",IF($D4="Z",I3+$E4,I3-$E4),I3)</f>
        <v>0</v>
      </c>
      <c r="J4">
        <f t="shared" ref="J4:J67" si="3">IF($C4="T4",IF($D4="Z",J3+$E4,J3-$E4),J3)</f>
        <v>3</v>
      </c>
      <c r="K4">
        <f t="shared" ref="K4:K67" si="4">IF($C4="T5",IF($D4="Z",K3+$E4,K3-$E4),K3)</f>
        <v>32</v>
      </c>
    </row>
    <row r="5" spans="1:17" x14ac:dyDescent="0.3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38</v>
      </c>
      <c r="H5">
        <f t="shared" si="1"/>
        <v>33</v>
      </c>
      <c r="I5">
        <f t="shared" si="2"/>
        <v>0</v>
      </c>
      <c r="J5">
        <f t="shared" si="3"/>
        <v>3</v>
      </c>
      <c r="K5">
        <f t="shared" si="4"/>
        <v>32</v>
      </c>
    </row>
    <row r="6" spans="1:17" x14ac:dyDescent="0.3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38</v>
      </c>
      <c r="H6">
        <f t="shared" si="1"/>
        <v>33</v>
      </c>
      <c r="I6">
        <f t="shared" si="2"/>
        <v>43</v>
      </c>
      <c r="J6">
        <f t="shared" si="3"/>
        <v>3</v>
      </c>
      <c r="K6">
        <f t="shared" si="4"/>
        <v>32</v>
      </c>
    </row>
    <row r="7" spans="1:17" x14ac:dyDescent="0.3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38</v>
      </c>
      <c r="H7">
        <f t="shared" si="1"/>
        <v>33</v>
      </c>
      <c r="I7">
        <f t="shared" si="2"/>
        <v>43</v>
      </c>
      <c r="J7">
        <f t="shared" si="3"/>
        <v>3</v>
      </c>
      <c r="K7">
        <f t="shared" si="4"/>
        <v>0</v>
      </c>
    </row>
    <row r="8" spans="1:17" x14ac:dyDescent="0.3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38</v>
      </c>
      <c r="H8">
        <f t="shared" si="1"/>
        <v>47</v>
      </c>
      <c r="I8">
        <f t="shared" si="2"/>
        <v>43</v>
      </c>
      <c r="J8">
        <f t="shared" si="3"/>
        <v>3</v>
      </c>
      <c r="K8">
        <f t="shared" si="4"/>
        <v>0</v>
      </c>
    </row>
    <row r="9" spans="1:17" x14ac:dyDescent="0.3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38</v>
      </c>
      <c r="H9">
        <f t="shared" si="1"/>
        <v>47</v>
      </c>
      <c r="I9">
        <f t="shared" si="2"/>
        <v>43</v>
      </c>
      <c r="J9">
        <f t="shared" si="3"/>
        <v>3</v>
      </c>
      <c r="K9">
        <f t="shared" si="4"/>
        <v>44</v>
      </c>
    </row>
    <row r="10" spans="1:17" x14ac:dyDescent="0.3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38</v>
      </c>
      <c r="H10">
        <f t="shared" si="1"/>
        <v>48</v>
      </c>
      <c r="I10">
        <f t="shared" si="2"/>
        <v>43</v>
      </c>
      <c r="J10">
        <f t="shared" si="3"/>
        <v>3</v>
      </c>
      <c r="K10">
        <f t="shared" si="4"/>
        <v>44</v>
      </c>
    </row>
    <row r="11" spans="1:17" x14ac:dyDescent="0.3">
      <c r="A11" s="5">
        <v>42393</v>
      </c>
      <c r="B11" s="6" t="s">
        <v>15</v>
      </c>
      <c r="C11" s="6" t="s">
        <v>7</v>
      </c>
      <c r="D11" s="6" t="s">
        <v>8</v>
      </c>
      <c r="E11" s="6">
        <v>21</v>
      </c>
      <c r="F11" s="6">
        <v>74</v>
      </c>
      <c r="G11" s="6">
        <f t="shared" si="0"/>
        <v>38</v>
      </c>
      <c r="H11" s="6">
        <f t="shared" si="1"/>
        <v>48</v>
      </c>
      <c r="I11" s="6">
        <f t="shared" si="2"/>
        <v>43</v>
      </c>
      <c r="J11" s="6">
        <f t="shared" si="3"/>
        <v>24</v>
      </c>
      <c r="K11" s="6">
        <f t="shared" si="4"/>
        <v>44</v>
      </c>
    </row>
    <row r="12" spans="1:17" x14ac:dyDescent="0.3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38</v>
      </c>
      <c r="H12">
        <f t="shared" si="1"/>
        <v>48</v>
      </c>
      <c r="I12">
        <f t="shared" si="2"/>
        <v>0</v>
      </c>
      <c r="J12">
        <f t="shared" si="3"/>
        <v>24</v>
      </c>
      <c r="K12">
        <f t="shared" si="4"/>
        <v>44</v>
      </c>
    </row>
    <row r="13" spans="1:17" x14ac:dyDescent="0.3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0</v>
      </c>
      <c r="H13">
        <f t="shared" si="1"/>
        <v>48</v>
      </c>
      <c r="I13">
        <f t="shared" si="2"/>
        <v>0</v>
      </c>
      <c r="J13">
        <f t="shared" si="3"/>
        <v>24</v>
      </c>
      <c r="K13">
        <f t="shared" si="4"/>
        <v>44</v>
      </c>
    </row>
    <row r="14" spans="1:17" x14ac:dyDescent="0.3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0</v>
      </c>
      <c r="H14">
        <f t="shared" si="1"/>
        <v>48</v>
      </c>
      <c r="I14">
        <f t="shared" si="2"/>
        <v>0</v>
      </c>
      <c r="J14">
        <f t="shared" si="3"/>
        <v>33</v>
      </c>
      <c r="K14">
        <f t="shared" si="4"/>
        <v>44</v>
      </c>
    </row>
    <row r="15" spans="1:17" x14ac:dyDescent="0.3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0</v>
      </c>
      <c r="H15">
        <f t="shared" si="1"/>
        <v>48</v>
      </c>
      <c r="I15">
        <f t="shared" si="2"/>
        <v>0</v>
      </c>
      <c r="J15">
        <f t="shared" si="3"/>
        <v>33</v>
      </c>
      <c r="K15">
        <f t="shared" si="4"/>
        <v>52</v>
      </c>
    </row>
    <row r="16" spans="1:17" x14ac:dyDescent="0.3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0</v>
      </c>
      <c r="H16">
        <f t="shared" si="1"/>
        <v>48</v>
      </c>
      <c r="I16">
        <f t="shared" si="2"/>
        <v>0</v>
      </c>
      <c r="J16">
        <f t="shared" si="3"/>
        <v>33</v>
      </c>
      <c r="K16">
        <f t="shared" si="4"/>
        <v>2</v>
      </c>
    </row>
    <row r="17" spans="1:11" x14ac:dyDescent="0.3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0</v>
      </c>
      <c r="H17">
        <f t="shared" si="1"/>
        <v>48</v>
      </c>
      <c r="I17">
        <f t="shared" si="2"/>
        <v>32</v>
      </c>
      <c r="J17">
        <f t="shared" si="3"/>
        <v>33</v>
      </c>
      <c r="K17">
        <f t="shared" si="4"/>
        <v>2</v>
      </c>
    </row>
    <row r="18" spans="1:11" x14ac:dyDescent="0.3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7</v>
      </c>
      <c r="H18">
        <f t="shared" si="1"/>
        <v>48</v>
      </c>
      <c r="I18">
        <f t="shared" si="2"/>
        <v>32</v>
      </c>
      <c r="J18">
        <f t="shared" si="3"/>
        <v>33</v>
      </c>
      <c r="K18">
        <f t="shared" si="4"/>
        <v>2</v>
      </c>
    </row>
    <row r="19" spans="1:11" x14ac:dyDescent="0.3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7</v>
      </c>
      <c r="H19">
        <f t="shared" si="1"/>
        <v>58</v>
      </c>
      <c r="I19">
        <f t="shared" si="2"/>
        <v>32</v>
      </c>
      <c r="J19">
        <f t="shared" si="3"/>
        <v>33</v>
      </c>
      <c r="K19">
        <f t="shared" si="4"/>
        <v>2</v>
      </c>
    </row>
    <row r="20" spans="1:11" x14ac:dyDescent="0.3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0</v>
      </c>
      <c r="H20">
        <f t="shared" si="1"/>
        <v>58</v>
      </c>
      <c r="I20">
        <f t="shared" si="2"/>
        <v>32</v>
      </c>
      <c r="J20">
        <f t="shared" si="3"/>
        <v>33</v>
      </c>
      <c r="K20">
        <f t="shared" si="4"/>
        <v>2</v>
      </c>
    </row>
    <row r="21" spans="1:11" x14ac:dyDescent="0.3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0</v>
      </c>
      <c r="H21">
        <f t="shared" si="1"/>
        <v>58</v>
      </c>
      <c r="I21">
        <f t="shared" si="2"/>
        <v>57</v>
      </c>
      <c r="J21">
        <f t="shared" si="3"/>
        <v>33</v>
      </c>
      <c r="K21">
        <f t="shared" si="4"/>
        <v>2</v>
      </c>
    </row>
    <row r="22" spans="1:11" x14ac:dyDescent="0.3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0</v>
      </c>
      <c r="H22">
        <f t="shared" si="1"/>
        <v>58</v>
      </c>
      <c r="I22">
        <f t="shared" si="2"/>
        <v>57</v>
      </c>
      <c r="J22">
        <f t="shared" si="3"/>
        <v>33</v>
      </c>
      <c r="K22">
        <f t="shared" si="4"/>
        <v>35</v>
      </c>
    </row>
    <row r="23" spans="1:11" x14ac:dyDescent="0.3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0</v>
      </c>
      <c r="H23">
        <f t="shared" si="1"/>
        <v>22</v>
      </c>
      <c r="I23">
        <f t="shared" si="2"/>
        <v>57</v>
      </c>
      <c r="J23">
        <f t="shared" si="3"/>
        <v>33</v>
      </c>
      <c r="K23">
        <f t="shared" si="4"/>
        <v>35</v>
      </c>
    </row>
    <row r="24" spans="1:11" x14ac:dyDescent="0.3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0</v>
      </c>
      <c r="H24">
        <f t="shared" si="1"/>
        <v>22</v>
      </c>
      <c r="I24">
        <f t="shared" si="2"/>
        <v>57</v>
      </c>
      <c r="J24">
        <f t="shared" si="3"/>
        <v>38</v>
      </c>
      <c r="K24">
        <f t="shared" si="4"/>
        <v>35</v>
      </c>
    </row>
    <row r="25" spans="1:11" x14ac:dyDescent="0.3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0</v>
      </c>
      <c r="H25">
        <f t="shared" si="1"/>
        <v>22</v>
      </c>
      <c r="I25">
        <f t="shared" si="2"/>
        <v>57</v>
      </c>
      <c r="J25">
        <f t="shared" si="3"/>
        <v>38</v>
      </c>
      <c r="K25">
        <f t="shared" si="4"/>
        <v>70</v>
      </c>
    </row>
    <row r="26" spans="1:11" x14ac:dyDescent="0.3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0</v>
      </c>
      <c r="H26">
        <f t="shared" si="1"/>
        <v>22</v>
      </c>
      <c r="I26">
        <f t="shared" si="2"/>
        <v>57</v>
      </c>
      <c r="J26">
        <f t="shared" si="3"/>
        <v>0</v>
      </c>
      <c r="K26">
        <f t="shared" si="4"/>
        <v>70</v>
      </c>
    </row>
    <row r="27" spans="1:11" x14ac:dyDescent="0.3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0</v>
      </c>
      <c r="H27">
        <f t="shared" si="1"/>
        <v>32</v>
      </c>
      <c r="I27">
        <f t="shared" si="2"/>
        <v>57</v>
      </c>
      <c r="J27">
        <f t="shared" si="3"/>
        <v>0</v>
      </c>
      <c r="K27">
        <f t="shared" si="4"/>
        <v>70</v>
      </c>
    </row>
    <row r="28" spans="1:11" x14ac:dyDescent="0.3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0</v>
      </c>
      <c r="H28">
        <f t="shared" si="1"/>
        <v>28</v>
      </c>
      <c r="I28">
        <f t="shared" si="2"/>
        <v>57</v>
      </c>
      <c r="J28">
        <f t="shared" si="3"/>
        <v>0</v>
      </c>
      <c r="K28">
        <f t="shared" si="4"/>
        <v>70</v>
      </c>
    </row>
    <row r="29" spans="1:11" x14ac:dyDescent="0.3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0</v>
      </c>
      <c r="H29">
        <f t="shared" si="1"/>
        <v>28</v>
      </c>
      <c r="I29">
        <f t="shared" si="2"/>
        <v>57</v>
      </c>
      <c r="J29">
        <f t="shared" si="3"/>
        <v>42</v>
      </c>
      <c r="K29">
        <f t="shared" si="4"/>
        <v>70</v>
      </c>
    </row>
    <row r="30" spans="1:11" x14ac:dyDescent="0.3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28</v>
      </c>
      <c r="H30">
        <f t="shared" si="1"/>
        <v>28</v>
      </c>
      <c r="I30">
        <f t="shared" si="2"/>
        <v>57</v>
      </c>
      <c r="J30">
        <f t="shared" si="3"/>
        <v>42</v>
      </c>
      <c r="K30">
        <f t="shared" si="4"/>
        <v>70</v>
      </c>
    </row>
    <row r="31" spans="1:11" x14ac:dyDescent="0.3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28</v>
      </c>
      <c r="H31">
        <f t="shared" si="1"/>
        <v>28</v>
      </c>
      <c r="I31">
        <f t="shared" si="2"/>
        <v>76</v>
      </c>
      <c r="J31">
        <f t="shared" si="3"/>
        <v>42</v>
      </c>
      <c r="K31">
        <f t="shared" si="4"/>
        <v>70</v>
      </c>
    </row>
    <row r="32" spans="1:11" x14ac:dyDescent="0.3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28</v>
      </c>
      <c r="H32">
        <f t="shared" si="1"/>
        <v>28</v>
      </c>
      <c r="I32">
        <f t="shared" si="2"/>
        <v>4</v>
      </c>
      <c r="J32">
        <f t="shared" si="3"/>
        <v>42</v>
      </c>
      <c r="K32">
        <f t="shared" si="4"/>
        <v>70</v>
      </c>
    </row>
    <row r="33" spans="1:11" x14ac:dyDescent="0.3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28</v>
      </c>
      <c r="H33">
        <f t="shared" si="1"/>
        <v>28</v>
      </c>
      <c r="I33">
        <f t="shared" si="2"/>
        <v>4</v>
      </c>
      <c r="J33">
        <f t="shared" si="3"/>
        <v>0</v>
      </c>
      <c r="K33">
        <f t="shared" si="4"/>
        <v>70</v>
      </c>
    </row>
    <row r="34" spans="1:11" x14ac:dyDescent="0.3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28</v>
      </c>
      <c r="H34">
        <f t="shared" si="1"/>
        <v>28</v>
      </c>
      <c r="I34">
        <f t="shared" si="2"/>
        <v>4</v>
      </c>
      <c r="J34">
        <f t="shared" si="3"/>
        <v>0</v>
      </c>
      <c r="K34">
        <f t="shared" si="4"/>
        <v>112</v>
      </c>
    </row>
    <row r="35" spans="1:11" x14ac:dyDescent="0.3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28</v>
      </c>
      <c r="H35">
        <f t="shared" si="1"/>
        <v>61</v>
      </c>
      <c r="I35">
        <f t="shared" si="2"/>
        <v>4</v>
      </c>
      <c r="J35">
        <f t="shared" si="3"/>
        <v>0</v>
      </c>
      <c r="K35">
        <f t="shared" si="4"/>
        <v>112</v>
      </c>
    </row>
    <row r="36" spans="1:11" x14ac:dyDescent="0.3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37</v>
      </c>
      <c r="H36">
        <f t="shared" si="1"/>
        <v>61</v>
      </c>
      <c r="I36">
        <f t="shared" si="2"/>
        <v>4</v>
      </c>
      <c r="J36">
        <f t="shared" si="3"/>
        <v>0</v>
      </c>
      <c r="K36">
        <f t="shared" si="4"/>
        <v>112</v>
      </c>
    </row>
    <row r="37" spans="1:11" x14ac:dyDescent="0.3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37</v>
      </c>
      <c r="H37">
        <f t="shared" si="1"/>
        <v>61</v>
      </c>
      <c r="I37">
        <f t="shared" si="2"/>
        <v>0</v>
      </c>
      <c r="J37">
        <f t="shared" si="3"/>
        <v>0</v>
      </c>
      <c r="K37">
        <f t="shared" si="4"/>
        <v>112</v>
      </c>
    </row>
    <row r="38" spans="1:11" x14ac:dyDescent="0.3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0</v>
      </c>
      <c r="H38">
        <f t="shared" si="1"/>
        <v>61</v>
      </c>
      <c r="I38">
        <f t="shared" si="2"/>
        <v>0</v>
      </c>
      <c r="J38">
        <f t="shared" si="3"/>
        <v>0</v>
      </c>
      <c r="K38">
        <f t="shared" si="4"/>
        <v>112</v>
      </c>
    </row>
    <row r="39" spans="1:11" x14ac:dyDescent="0.3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0</v>
      </c>
      <c r="H39">
        <f t="shared" si="1"/>
        <v>61</v>
      </c>
      <c r="I39">
        <f t="shared" si="2"/>
        <v>0</v>
      </c>
      <c r="J39">
        <f t="shared" si="3"/>
        <v>0</v>
      </c>
      <c r="K39">
        <f t="shared" si="4"/>
        <v>147</v>
      </c>
    </row>
    <row r="40" spans="1:11" x14ac:dyDescent="0.3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0</v>
      </c>
      <c r="H40">
        <f t="shared" si="1"/>
        <v>61</v>
      </c>
      <c r="I40">
        <f t="shared" si="2"/>
        <v>0</v>
      </c>
      <c r="J40">
        <f t="shared" si="3"/>
        <v>32</v>
      </c>
      <c r="K40">
        <f t="shared" si="4"/>
        <v>147</v>
      </c>
    </row>
    <row r="41" spans="1:11" x14ac:dyDescent="0.3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0</v>
      </c>
      <c r="H41">
        <f t="shared" si="1"/>
        <v>61</v>
      </c>
      <c r="I41">
        <f t="shared" si="2"/>
        <v>0</v>
      </c>
      <c r="J41">
        <f t="shared" si="3"/>
        <v>0</v>
      </c>
      <c r="K41">
        <f t="shared" si="4"/>
        <v>147</v>
      </c>
    </row>
    <row r="42" spans="1:11" x14ac:dyDescent="0.3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0</v>
      </c>
      <c r="H42">
        <f t="shared" si="1"/>
        <v>61</v>
      </c>
      <c r="I42">
        <f t="shared" si="2"/>
        <v>0</v>
      </c>
      <c r="J42">
        <f t="shared" si="3"/>
        <v>0</v>
      </c>
      <c r="K42">
        <f t="shared" si="4"/>
        <v>195</v>
      </c>
    </row>
    <row r="43" spans="1:11" x14ac:dyDescent="0.3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0</v>
      </c>
      <c r="H43">
        <f t="shared" si="1"/>
        <v>61</v>
      </c>
      <c r="I43">
        <f t="shared" si="2"/>
        <v>0</v>
      </c>
      <c r="J43">
        <f t="shared" si="3"/>
        <v>0</v>
      </c>
      <c r="K43">
        <f t="shared" si="4"/>
        <v>4</v>
      </c>
    </row>
    <row r="44" spans="1:11" x14ac:dyDescent="0.3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0</v>
      </c>
      <c r="H44">
        <f t="shared" si="1"/>
        <v>70</v>
      </c>
      <c r="I44">
        <f t="shared" si="2"/>
        <v>0</v>
      </c>
      <c r="J44">
        <f t="shared" si="3"/>
        <v>0</v>
      </c>
      <c r="K44">
        <f t="shared" si="4"/>
        <v>4</v>
      </c>
    </row>
    <row r="45" spans="1:11" x14ac:dyDescent="0.3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0</v>
      </c>
      <c r="H45">
        <f t="shared" si="1"/>
        <v>70</v>
      </c>
      <c r="I45">
        <f t="shared" si="2"/>
        <v>0</v>
      </c>
      <c r="J45">
        <f t="shared" si="3"/>
        <v>36</v>
      </c>
      <c r="K45">
        <f t="shared" si="4"/>
        <v>4</v>
      </c>
    </row>
    <row r="46" spans="1:11" x14ac:dyDescent="0.3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47</v>
      </c>
      <c r="H46">
        <f t="shared" si="1"/>
        <v>70</v>
      </c>
      <c r="I46">
        <f t="shared" si="2"/>
        <v>0</v>
      </c>
      <c r="J46">
        <f t="shared" si="3"/>
        <v>36</v>
      </c>
      <c r="K46">
        <f t="shared" si="4"/>
        <v>4</v>
      </c>
    </row>
    <row r="47" spans="1:11" x14ac:dyDescent="0.3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47</v>
      </c>
      <c r="H47">
        <f t="shared" si="1"/>
        <v>70</v>
      </c>
      <c r="I47">
        <f t="shared" si="2"/>
        <v>0</v>
      </c>
      <c r="J47">
        <f t="shared" si="3"/>
        <v>36</v>
      </c>
      <c r="K47">
        <f t="shared" si="4"/>
        <v>0</v>
      </c>
    </row>
    <row r="48" spans="1:11" x14ac:dyDescent="0.3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47</v>
      </c>
      <c r="H48">
        <f t="shared" si="1"/>
        <v>70</v>
      </c>
      <c r="I48">
        <f t="shared" si="2"/>
        <v>8</v>
      </c>
      <c r="J48">
        <f t="shared" si="3"/>
        <v>36</v>
      </c>
      <c r="K48">
        <f t="shared" si="4"/>
        <v>0</v>
      </c>
    </row>
    <row r="49" spans="1:11" x14ac:dyDescent="0.3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47</v>
      </c>
      <c r="H49">
        <f t="shared" si="1"/>
        <v>73</v>
      </c>
      <c r="I49">
        <f t="shared" si="2"/>
        <v>8</v>
      </c>
      <c r="J49">
        <f t="shared" si="3"/>
        <v>36</v>
      </c>
      <c r="K49">
        <f t="shared" si="4"/>
        <v>0</v>
      </c>
    </row>
    <row r="50" spans="1:11" x14ac:dyDescent="0.3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47</v>
      </c>
      <c r="H50">
        <f t="shared" si="1"/>
        <v>73</v>
      </c>
      <c r="I50">
        <f t="shared" si="2"/>
        <v>8</v>
      </c>
      <c r="J50">
        <f t="shared" si="3"/>
        <v>77</v>
      </c>
      <c r="K50">
        <f t="shared" si="4"/>
        <v>0</v>
      </c>
    </row>
    <row r="51" spans="1:11" x14ac:dyDescent="0.3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47</v>
      </c>
      <c r="H51">
        <f t="shared" si="1"/>
        <v>73</v>
      </c>
      <c r="I51">
        <f t="shared" si="2"/>
        <v>8</v>
      </c>
      <c r="J51">
        <f t="shared" si="3"/>
        <v>77</v>
      </c>
      <c r="K51">
        <f t="shared" si="4"/>
        <v>44</v>
      </c>
    </row>
    <row r="52" spans="1:11" x14ac:dyDescent="0.3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2</v>
      </c>
      <c r="H52">
        <f t="shared" si="1"/>
        <v>73</v>
      </c>
      <c r="I52">
        <f t="shared" si="2"/>
        <v>8</v>
      </c>
      <c r="J52">
        <f t="shared" si="3"/>
        <v>77</v>
      </c>
      <c r="K52">
        <f t="shared" si="4"/>
        <v>44</v>
      </c>
    </row>
    <row r="53" spans="1:11" x14ac:dyDescent="0.3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2</v>
      </c>
      <c r="H53">
        <f t="shared" si="1"/>
        <v>73</v>
      </c>
      <c r="I53">
        <f t="shared" si="2"/>
        <v>48</v>
      </c>
      <c r="J53">
        <f t="shared" si="3"/>
        <v>77</v>
      </c>
      <c r="K53">
        <f t="shared" si="4"/>
        <v>44</v>
      </c>
    </row>
    <row r="54" spans="1:11" x14ac:dyDescent="0.3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2</v>
      </c>
      <c r="H54">
        <f t="shared" si="1"/>
        <v>73</v>
      </c>
      <c r="I54">
        <f t="shared" si="2"/>
        <v>48</v>
      </c>
      <c r="J54">
        <f t="shared" si="3"/>
        <v>80</v>
      </c>
      <c r="K54">
        <f t="shared" si="4"/>
        <v>44</v>
      </c>
    </row>
    <row r="55" spans="1:11" x14ac:dyDescent="0.3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2</v>
      </c>
      <c r="H55">
        <f t="shared" si="1"/>
        <v>90</v>
      </c>
      <c r="I55">
        <f t="shared" si="2"/>
        <v>48</v>
      </c>
      <c r="J55">
        <f t="shared" si="3"/>
        <v>80</v>
      </c>
      <c r="K55">
        <f t="shared" si="4"/>
        <v>44</v>
      </c>
    </row>
    <row r="56" spans="1:11" x14ac:dyDescent="0.3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0</v>
      </c>
      <c r="H56">
        <f t="shared" si="1"/>
        <v>90</v>
      </c>
      <c r="I56">
        <f t="shared" si="2"/>
        <v>48</v>
      </c>
      <c r="J56">
        <f t="shared" si="3"/>
        <v>80</v>
      </c>
      <c r="K56">
        <f t="shared" si="4"/>
        <v>44</v>
      </c>
    </row>
    <row r="57" spans="1:11" x14ac:dyDescent="0.3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0</v>
      </c>
      <c r="H57">
        <f t="shared" si="1"/>
        <v>90</v>
      </c>
      <c r="I57">
        <f t="shared" si="2"/>
        <v>62</v>
      </c>
      <c r="J57">
        <f t="shared" si="3"/>
        <v>80</v>
      </c>
      <c r="K57">
        <f t="shared" si="4"/>
        <v>44</v>
      </c>
    </row>
    <row r="58" spans="1:11" x14ac:dyDescent="0.3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0</v>
      </c>
      <c r="H58">
        <f t="shared" si="1"/>
        <v>113</v>
      </c>
      <c r="I58">
        <f t="shared" si="2"/>
        <v>62</v>
      </c>
      <c r="J58">
        <f t="shared" si="3"/>
        <v>80</v>
      </c>
      <c r="K58">
        <f t="shared" si="4"/>
        <v>44</v>
      </c>
    </row>
    <row r="59" spans="1:11" x14ac:dyDescent="0.3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11</v>
      </c>
      <c r="H59">
        <f t="shared" si="1"/>
        <v>113</v>
      </c>
      <c r="I59">
        <f t="shared" si="2"/>
        <v>62</v>
      </c>
      <c r="J59">
        <f t="shared" si="3"/>
        <v>80</v>
      </c>
      <c r="K59">
        <f t="shared" si="4"/>
        <v>44</v>
      </c>
    </row>
    <row r="60" spans="1:11" x14ac:dyDescent="0.3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11</v>
      </c>
      <c r="H60">
        <f t="shared" si="1"/>
        <v>113</v>
      </c>
      <c r="I60">
        <f t="shared" si="2"/>
        <v>62</v>
      </c>
      <c r="J60">
        <f t="shared" si="3"/>
        <v>97</v>
      </c>
      <c r="K60">
        <f t="shared" si="4"/>
        <v>44</v>
      </c>
    </row>
    <row r="61" spans="1:11" x14ac:dyDescent="0.3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11</v>
      </c>
      <c r="H61">
        <f t="shared" si="1"/>
        <v>113</v>
      </c>
      <c r="I61">
        <f t="shared" si="2"/>
        <v>62</v>
      </c>
      <c r="J61">
        <f t="shared" si="3"/>
        <v>97</v>
      </c>
      <c r="K61">
        <f t="shared" si="4"/>
        <v>74</v>
      </c>
    </row>
    <row r="62" spans="1:11" x14ac:dyDescent="0.3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11</v>
      </c>
      <c r="H62">
        <f t="shared" si="1"/>
        <v>113</v>
      </c>
      <c r="I62">
        <f t="shared" si="2"/>
        <v>62</v>
      </c>
      <c r="J62">
        <f t="shared" si="3"/>
        <v>0</v>
      </c>
      <c r="K62">
        <f t="shared" si="4"/>
        <v>74</v>
      </c>
    </row>
    <row r="63" spans="1:11" x14ac:dyDescent="0.3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0</v>
      </c>
      <c r="H63">
        <f t="shared" si="1"/>
        <v>113</v>
      </c>
      <c r="I63">
        <f t="shared" si="2"/>
        <v>62</v>
      </c>
      <c r="J63">
        <f t="shared" si="3"/>
        <v>0</v>
      </c>
      <c r="K63">
        <f t="shared" si="4"/>
        <v>74</v>
      </c>
    </row>
    <row r="64" spans="1:11" x14ac:dyDescent="0.3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0</v>
      </c>
      <c r="H64">
        <f t="shared" si="1"/>
        <v>113</v>
      </c>
      <c r="I64">
        <f t="shared" si="2"/>
        <v>79</v>
      </c>
      <c r="J64">
        <f t="shared" si="3"/>
        <v>0</v>
      </c>
      <c r="K64">
        <f t="shared" si="4"/>
        <v>74</v>
      </c>
    </row>
    <row r="65" spans="1:11" x14ac:dyDescent="0.3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0</v>
      </c>
      <c r="H65">
        <f t="shared" si="1"/>
        <v>117</v>
      </c>
      <c r="I65">
        <f t="shared" si="2"/>
        <v>79</v>
      </c>
      <c r="J65">
        <f t="shared" si="3"/>
        <v>0</v>
      </c>
      <c r="K65">
        <f t="shared" si="4"/>
        <v>74</v>
      </c>
    </row>
    <row r="66" spans="1:11" x14ac:dyDescent="0.3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0</v>
      </c>
      <c r="H66">
        <f t="shared" si="1"/>
        <v>117</v>
      </c>
      <c r="I66">
        <f t="shared" si="2"/>
        <v>0</v>
      </c>
      <c r="J66">
        <f t="shared" si="3"/>
        <v>0</v>
      </c>
      <c r="K66">
        <f t="shared" si="4"/>
        <v>74</v>
      </c>
    </row>
    <row r="67" spans="1:11" x14ac:dyDescent="0.3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0</v>
      </c>
      <c r="H67">
        <f t="shared" si="1"/>
        <v>117</v>
      </c>
      <c r="I67">
        <f t="shared" si="2"/>
        <v>0</v>
      </c>
      <c r="J67">
        <f t="shared" si="3"/>
        <v>33</v>
      </c>
      <c r="K67">
        <f t="shared" si="4"/>
        <v>74</v>
      </c>
    </row>
    <row r="68" spans="1:11" x14ac:dyDescent="0.3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5">IF($C68="T1",IF($D68="Z",G67+$E68,G67-$E68),G67)</f>
        <v>0</v>
      </c>
      <c r="H68">
        <f t="shared" ref="H68:H131" si="6">IF($C68="T2",IF($D68="Z",H67+$E68,H67-$E68),H67)</f>
        <v>143</v>
      </c>
      <c r="I68">
        <f t="shared" ref="I68:I131" si="7">IF($C68="T3",IF($D68="Z",I67+$E68,I67-$E68),I67)</f>
        <v>0</v>
      </c>
      <c r="J68">
        <f t="shared" ref="J68:J131" si="8">IF($C68="T4",IF($D68="Z",J67+$E68,J67-$E68),J67)</f>
        <v>33</v>
      </c>
      <c r="K68">
        <f t="shared" ref="K68:K131" si="9">IF($C68="T5",IF($D68="Z",K67+$E68,K67-$E68),K67)</f>
        <v>74</v>
      </c>
    </row>
    <row r="69" spans="1:11" x14ac:dyDescent="0.3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5"/>
        <v>0</v>
      </c>
      <c r="H69">
        <f t="shared" si="6"/>
        <v>143</v>
      </c>
      <c r="I69">
        <f t="shared" si="7"/>
        <v>40</v>
      </c>
      <c r="J69">
        <f t="shared" si="8"/>
        <v>33</v>
      </c>
      <c r="K69">
        <f t="shared" si="9"/>
        <v>74</v>
      </c>
    </row>
    <row r="70" spans="1:11" x14ac:dyDescent="0.3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5"/>
        <v>42</v>
      </c>
      <c r="H70">
        <f t="shared" si="6"/>
        <v>143</v>
      </c>
      <c r="I70">
        <f t="shared" si="7"/>
        <v>40</v>
      </c>
      <c r="J70">
        <f t="shared" si="8"/>
        <v>33</v>
      </c>
      <c r="K70">
        <f t="shared" si="9"/>
        <v>74</v>
      </c>
    </row>
    <row r="71" spans="1:11" x14ac:dyDescent="0.3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5"/>
        <v>42</v>
      </c>
      <c r="H71">
        <f t="shared" si="6"/>
        <v>185</v>
      </c>
      <c r="I71">
        <f t="shared" si="7"/>
        <v>40</v>
      </c>
      <c r="J71">
        <f t="shared" si="8"/>
        <v>33</v>
      </c>
      <c r="K71">
        <f t="shared" si="9"/>
        <v>74</v>
      </c>
    </row>
    <row r="72" spans="1:11" x14ac:dyDescent="0.3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5"/>
        <v>42</v>
      </c>
      <c r="H72">
        <f t="shared" si="6"/>
        <v>185</v>
      </c>
      <c r="I72">
        <f t="shared" si="7"/>
        <v>40</v>
      </c>
      <c r="J72">
        <f t="shared" si="8"/>
        <v>42</v>
      </c>
      <c r="K72">
        <f t="shared" si="9"/>
        <v>74</v>
      </c>
    </row>
    <row r="73" spans="1:11" x14ac:dyDescent="0.3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5"/>
        <v>42</v>
      </c>
      <c r="H73">
        <f t="shared" si="6"/>
        <v>185</v>
      </c>
      <c r="I73">
        <f t="shared" si="7"/>
        <v>40</v>
      </c>
      <c r="J73">
        <f t="shared" si="8"/>
        <v>42</v>
      </c>
      <c r="K73">
        <f t="shared" si="9"/>
        <v>113</v>
      </c>
    </row>
    <row r="74" spans="1:11" x14ac:dyDescent="0.3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5"/>
        <v>42</v>
      </c>
      <c r="H74">
        <f t="shared" si="6"/>
        <v>185</v>
      </c>
      <c r="I74">
        <f t="shared" si="7"/>
        <v>40</v>
      </c>
      <c r="J74">
        <f t="shared" si="8"/>
        <v>42</v>
      </c>
      <c r="K74">
        <f t="shared" si="9"/>
        <v>1</v>
      </c>
    </row>
    <row r="75" spans="1:11" x14ac:dyDescent="0.3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5"/>
        <v>42</v>
      </c>
      <c r="H75">
        <f t="shared" si="6"/>
        <v>185</v>
      </c>
      <c r="I75">
        <f t="shared" si="7"/>
        <v>40</v>
      </c>
      <c r="J75">
        <f t="shared" si="8"/>
        <v>76</v>
      </c>
      <c r="K75">
        <f t="shared" si="9"/>
        <v>1</v>
      </c>
    </row>
    <row r="76" spans="1:11" x14ac:dyDescent="0.3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5"/>
        <v>42</v>
      </c>
      <c r="H76">
        <f t="shared" si="6"/>
        <v>185</v>
      </c>
      <c r="I76">
        <f t="shared" si="7"/>
        <v>45</v>
      </c>
      <c r="J76">
        <f t="shared" si="8"/>
        <v>76</v>
      </c>
      <c r="K76">
        <f t="shared" si="9"/>
        <v>1</v>
      </c>
    </row>
    <row r="77" spans="1:11" x14ac:dyDescent="0.3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5"/>
        <v>42</v>
      </c>
      <c r="H77">
        <f t="shared" si="6"/>
        <v>185</v>
      </c>
      <c r="I77">
        <f t="shared" si="7"/>
        <v>45</v>
      </c>
      <c r="J77">
        <f t="shared" si="8"/>
        <v>2</v>
      </c>
      <c r="K77">
        <f t="shared" si="9"/>
        <v>1</v>
      </c>
    </row>
    <row r="78" spans="1:11" x14ac:dyDescent="0.3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5"/>
        <v>42</v>
      </c>
      <c r="H78">
        <f t="shared" si="6"/>
        <v>199</v>
      </c>
      <c r="I78">
        <f t="shared" si="7"/>
        <v>45</v>
      </c>
      <c r="J78">
        <f t="shared" si="8"/>
        <v>2</v>
      </c>
      <c r="K78">
        <f t="shared" si="9"/>
        <v>1</v>
      </c>
    </row>
    <row r="79" spans="1:11" x14ac:dyDescent="0.3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5"/>
        <v>42</v>
      </c>
      <c r="H79">
        <f t="shared" si="6"/>
        <v>199</v>
      </c>
      <c r="I79">
        <f t="shared" si="7"/>
        <v>45</v>
      </c>
      <c r="J79">
        <f t="shared" si="8"/>
        <v>2</v>
      </c>
      <c r="K79">
        <f t="shared" si="9"/>
        <v>0</v>
      </c>
    </row>
    <row r="80" spans="1:11" x14ac:dyDescent="0.3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5"/>
        <v>42</v>
      </c>
      <c r="H80">
        <f t="shared" si="6"/>
        <v>156</v>
      </c>
      <c r="I80">
        <f t="shared" si="7"/>
        <v>45</v>
      </c>
      <c r="J80">
        <f t="shared" si="8"/>
        <v>2</v>
      </c>
      <c r="K80">
        <f t="shared" si="9"/>
        <v>0</v>
      </c>
    </row>
    <row r="81" spans="1:11" x14ac:dyDescent="0.3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5"/>
        <v>72</v>
      </c>
      <c r="H81">
        <f t="shared" si="6"/>
        <v>156</v>
      </c>
      <c r="I81">
        <f t="shared" si="7"/>
        <v>45</v>
      </c>
      <c r="J81">
        <f t="shared" si="8"/>
        <v>2</v>
      </c>
      <c r="K81">
        <f t="shared" si="9"/>
        <v>0</v>
      </c>
    </row>
    <row r="82" spans="1:11" x14ac:dyDescent="0.3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5"/>
        <v>72</v>
      </c>
      <c r="H82">
        <f t="shared" si="6"/>
        <v>156</v>
      </c>
      <c r="I82">
        <f t="shared" si="7"/>
        <v>59</v>
      </c>
      <c r="J82">
        <f t="shared" si="8"/>
        <v>2</v>
      </c>
      <c r="K82">
        <f t="shared" si="9"/>
        <v>0</v>
      </c>
    </row>
    <row r="83" spans="1:11" x14ac:dyDescent="0.3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5"/>
        <v>72</v>
      </c>
      <c r="H83">
        <f t="shared" si="6"/>
        <v>123</v>
      </c>
      <c r="I83">
        <f t="shared" si="7"/>
        <v>59</v>
      </c>
      <c r="J83">
        <f t="shared" si="8"/>
        <v>2</v>
      </c>
      <c r="K83">
        <f t="shared" si="9"/>
        <v>0</v>
      </c>
    </row>
    <row r="84" spans="1:11" x14ac:dyDescent="0.3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5"/>
        <v>72</v>
      </c>
      <c r="H84">
        <f t="shared" si="6"/>
        <v>123</v>
      </c>
      <c r="I84">
        <f t="shared" si="7"/>
        <v>59</v>
      </c>
      <c r="J84">
        <f t="shared" si="8"/>
        <v>2</v>
      </c>
      <c r="K84">
        <f t="shared" si="9"/>
        <v>35</v>
      </c>
    </row>
    <row r="85" spans="1:11" x14ac:dyDescent="0.3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5"/>
        <v>72</v>
      </c>
      <c r="H85">
        <f t="shared" si="6"/>
        <v>123</v>
      </c>
      <c r="I85">
        <f t="shared" si="7"/>
        <v>99</v>
      </c>
      <c r="J85">
        <f t="shared" si="8"/>
        <v>2</v>
      </c>
      <c r="K85">
        <f t="shared" si="9"/>
        <v>35</v>
      </c>
    </row>
    <row r="86" spans="1:11" x14ac:dyDescent="0.3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5"/>
        <v>72</v>
      </c>
      <c r="H86">
        <f t="shared" si="6"/>
        <v>102</v>
      </c>
      <c r="I86">
        <f t="shared" si="7"/>
        <v>99</v>
      </c>
      <c r="J86">
        <f t="shared" si="8"/>
        <v>2</v>
      </c>
      <c r="K86">
        <f t="shared" si="9"/>
        <v>35</v>
      </c>
    </row>
    <row r="87" spans="1:11" x14ac:dyDescent="0.3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5"/>
        <v>72</v>
      </c>
      <c r="H87">
        <f t="shared" si="6"/>
        <v>102</v>
      </c>
      <c r="I87">
        <f t="shared" si="7"/>
        <v>99</v>
      </c>
      <c r="J87">
        <f t="shared" si="8"/>
        <v>0</v>
      </c>
      <c r="K87">
        <f t="shared" si="9"/>
        <v>35</v>
      </c>
    </row>
    <row r="88" spans="1:11" x14ac:dyDescent="0.3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5"/>
        <v>72</v>
      </c>
      <c r="H88">
        <f t="shared" si="6"/>
        <v>102</v>
      </c>
      <c r="I88">
        <f t="shared" si="7"/>
        <v>111</v>
      </c>
      <c r="J88">
        <f t="shared" si="8"/>
        <v>0</v>
      </c>
      <c r="K88">
        <f t="shared" si="9"/>
        <v>35</v>
      </c>
    </row>
    <row r="89" spans="1:11" x14ac:dyDescent="0.3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5"/>
        <v>87</v>
      </c>
      <c r="H89">
        <f t="shared" si="6"/>
        <v>102</v>
      </c>
      <c r="I89">
        <f t="shared" si="7"/>
        <v>111</v>
      </c>
      <c r="J89">
        <f t="shared" si="8"/>
        <v>0</v>
      </c>
      <c r="K89">
        <f t="shared" si="9"/>
        <v>35</v>
      </c>
    </row>
    <row r="90" spans="1:11" x14ac:dyDescent="0.3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5"/>
        <v>87</v>
      </c>
      <c r="H90">
        <f t="shared" si="6"/>
        <v>102</v>
      </c>
      <c r="I90">
        <f t="shared" si="7"/>
        <v>111</v>
      </c>
      <c r="J90">
        <f t="shared" si="8"/>
        <v>0</v>
      </c>
      <c r="K90">
        <f t="shared" si="9"/>
        <v>36</v>
      </c>
    </row>
    <row r="91" spans="1:11" x14ac:dyDescent="0.3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5"/>
        <v>1</v>
      </c>
      <c r="H91">
        <f t="shared" si="6"/>
        <v>102</v>
      </c>
      <c r="I91">
        <f t="shared" si="7"/>
        <v>111</v>
      </c>
      <c r="J91">
        <f t="shared" si="8"/>
        <v>0</v>
      </c>
      <c r="K91">
        <f t="shared" si="9"/>
        <v>36</v>
      </c>
    </row>
    <row r="92" spans="1:11" x14ac:dyDescent="0.3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5"/>
        <v>1</v>
      </c>
      <c r="H92">
        <f t="shared" si="6"/>
        <v>102</v>
      </c>
      <c r="I92">
        <f t="shared" si="7"/>
        <v>1</v>
      </c>
      <c r="J92">
        <f t="shared" si="8"/>
        <v>0</v>
      </c>
      <c r="K92">
        <f t="shared" si="9"/>
        <v>36</v>
      </c>
    </row>
    <row r="93" spans="1:11" x14ac:dyDescent="0.3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5"/>
        <v>1</v>
      </c>
      <c r="H93">
        <f t="shared" si="6"/>
        <v>102</v>
      </c>
      <c r="I93">
        <f t="shared" si="7"/>
        <v>1</v>
      </c>
      <c r="J93">
        <f t="shared" si="8"/>
        <v>0</v>
      </c>
      <c r="K93">
        <f t="shared" si="9"/>
        <v>69</v>
      </c>
    </row>
    <row r="94" spans="1:11" x14ac:dyDescent="0.3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5"/>
        <v>1</v>
      </c>
      <c r="H94">
        <f t="shared" si="6"/>
        <v>115</v>
      </c>
      <c r="I94">
        <f t="shared" si="7"/>
        <v>1</v>
      </c>
      <c r="J94">
        <f t="shared" si="8"/>
        <v>0</v>
      </c>
      <c r="K94">
        <f t="shared" si="9"/>
        <v>69</v>
      </c>
    </row>
    <row r="95" spans="1:11" x14ac:dyDescent="0.3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5"/>
        <v>1</v>
      </c>
      <c r="H95">
        <f t="shared" si="6"/>
        <v>115</v>
      </c>
      <c r="I95">
        <f t="shared" si="7"/>
        <v>1</v>
      </c>
      <c r="J95">
        <f t="shared" si="8"/>
        <v>37</v>
      </c>
      <c r="K95">
        <f t="shared" si="9"/>
        <v>69</v>
      </c>
    </row>
    <row r="96" spans="1:11" x14ac:dyDescent="0.3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5"/>
        <v>0</v>
      </c>
      <c r="H96">
        <f t="shared" si="6"/>
        <v>115</v>
      </c>
      <c r="I96">
        <f t="shared" si="7"/>
        <v>1</v>
      </c>
      <c r="J96">
        <f t="shared" si="8"/>
        <v>37</v>
      </c>
      <c r="K96">
        <f t="shared" si="9"/>
        <v>69</v>
      </c>
    </row>
    <row r="97" spans="1:11" x14ac:dyDescent="0.3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5"/>
        <v>0</v>
      </c>
      <c r="H97">
        <f t="shared" si="6"/>
        <v>115</v>
      </c>
      <c r="I97">
        <f t="shared" si="7"/>
        <v>1</v>
      </c>
      <c r="J97">
        <f t="shared" si="8"/>
        <v>37</v>
      </c>
      <c r="K97">
        <f t="shared" si="9"/>
        <v>1</v>
      </c>
    </row>
    <row r="98" spans="1:11" x14ac:dyDescent="0.3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5"/>
        <v>0</v>
      </c>
      <c r="H98">
        <f t="shared" si="6"/>
        <v>115</v>
      </c>
      <c r="I98">
        <f t="shared" si="7"/>
        <v>1</v>
      </c>
      <c r="J98">
        <f t="shared" si="8"/>
        <v>72</v>
      </c>
      <c r="K98">
        <f t="shared" si="9"/>
        <v>1</v>
      </c>
    </row>
    <row r="99" spans="1:11" x14ac:dyDescent="0.3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5"/>
        <v>0</v>
      </c>
      <c r="H99">
        <f t="shared" si="6"/>
        <v>115</v>
      </c>
      <c r="I99">
        <f t="shared" si="7"/>
        <v>26</v>
      </c>
      <c r="J99">
        <f t="shared" si="8"/>
        <v>72</v>
      </c>
      <c r="K99">
        <f t="shared" si="9"/>
        <v>1</v>
      </c>
    </row>
    <row r="100" spans="1:11" x14ac:dyDescent="0.3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5"/>
        <v>0</v>
      </c>
      <c r="H100">
        <f t="shared" si="6"/>
        <v>125</v>
      </c>
      <c r="I100">
        <f t="shared" si="7"/>
        <v>26</v>
      </c>
      <c r="J100">
        <f t="shared" si="8"/>
        <v>72</v>
      </c>
      <c r="K100">
        <f t="shared" si="9"/>
        <v>1</v>
      </c>
    </row>
    <row r="101" spans="1:11" x14ac:dyDescent="0.3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5"/>
        <v>0</v>
      </c>
      <c r="H101">
        <f t="shared" si="6"/>
        <v>87</v>
      </c>
      <c r="I101">
        <f t="shared" si="7"/>
        <v>26</v>
      </c>
      <c r="J101">
        <f t="shared" si="8"/>
        <v>72</v>
      </c>
      <c r="K101">
        <f t="shared" si="9"/>
        <v>1</v>
      </c>
    </row>
    <row r="102" spans="1:11" x14ac:dyDescent="0.3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5"/>
        <v>22</v>
      </c>
      <c r="H102">
        <f t="shared" si="6"/>
        <v>87</v>
      </c>
      <c r="I102">
        <f t="shared" si="7"/>
        <v>26</v>
      </c>
      <c r="J102">
        <f t="shared" si="8"/>
        <v>72</v>
      </c>
      <c r="K102">
        <f t="shared" si="9"/>
        <v>1</v>
      </c>
    </row>
    <row r="103" spans="1:11" x14ac:dyDescent="0.3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5"/>
        <v>22</v>
      </c>
      <c r="H103">
        <f t="shared" si="6"/>
        <v>87</v>
      </c>
      <c r="I103">
        <f t="shared" si="7"/>
        <v>51</v>
      </c>
      <c r="J103">
        <f t="shared" si="8"/>
        <v>72</v>
      </c>
      <c r="K103">
        <f t="shared" si="9"/>
        <v>1</v>
      </c>
    </row>
    <row r="104" spans="1:11" x14ac:dyDescent="0.3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5"/>
        <v>22</v>
      </c>
      <c r="H104">
        <f t="shared" si="6"/>
        <v>87</v>
      </c>
      <c r="I104">
        <f t="shared" si="7"/>
        <v>51</v>
      </c>
      <c r="J104">
        <f t="shared" si="8"/>
        <v>72</v>
      </c>
      <c r="K104">
        <f t="shared" si="9"/>
        <v>9</v>
      </c>
    </row>
    <row r="105" spans="1:11" x14ac:dyDescent="0.3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5"/>
        <v>22</v>
      </c>
      <c r="H105">
        <f t="shared" si="6"/>
        <v>87</v>
      </c>
      <c r="I105">
        <f t="shared" si="7"/>
        <v>51</v>
      </c>
      <c r="J105">
        <f t="shared" si="8"/>
        <v>117</v>
      </c>
      <c r="K105">
        <f t="shared" si="9"/>
        <v>9</v>
      </c>
    </row>
    <row r="106" spans="1:11" x14ac:dyDescent="0.3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5"/>
        <v>22</v>
      </c>
      <c r="H106">
        <f t="shared" si="6"/>
        <v>87</v>
      </c>
      <c r="I106">
        <f t="shared" si="7"/>
        <v>51</v>
      </c>
      <c r="J106">
        <f t="shared" si="8"/>
        <v>1</v>
      </c>
      <c r="K106">
        <f t="shared" si="9"/>
        <v>9</v>
      </c>
    </row>
    <row r="107" spans="1:11" x14ac:dyDescent="0.3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5"/>
        <v>22</v>
      </c>
      <c r="H107">
        <f t="shared" si="6"/>
        <v>87</v>
      </c>
      <c r="I107">
        <f t="shared" si="7"/>
        <v>80</v>
      </c>
      <c r="J107">
        <f t="shared" si="8"/>
        <v>1</v>
      </c>
      <c r="K107">
        <f t="shared" si="9"/>
        <v>9</v>
      </c>
    </row>
    <row r="108" spans="1:11" x14ac:dyDescent="0.3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5"/>
        <v>22</v>
      </c>
      <c r="H108">
        <f t="shared" si="6"/>
        <v>82</v>
      </c>
      <c r="I108">
        <f t="shared" si="7"/>
        <v>80</v>
      </c>
      <c r="J108">
        <f t="shared" si="8"/>
        <v>1</v>
      </c>
      <c r="K108">
        <f t="shared" si="9"/>
        <v>9</v>
      </c>
    </row>
    <row r="109" spans="1:11" x14ac:dyDescent="0.3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5"/>
        <v>0</v>
      </c>
      <c r="H109">
        <f t="shared" si="6"/>
        <v>82</v>
      </c>
      <c r="I109">
        <f t="shared" si="7"/>
        <v>80</v>
      </c>
      <c r="J109">
        <f t="shared" si="8"/>
        <v>1</v>
      </c>
      <c r="K109">
        <f t="shared" si="9"/>
        <v>9</v>
      </c>
    </row>
    <row r="110" spans="1:11" x14ac:dyDescent="0.3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5"/>
        <v>0</v>
      </c>
      <c r="H110">
        <f t="shared" si="6"/>
        <v>82</v>
      </c>
      <c r="I110">
        <f t="shared" si="7"/>
        <v>117</v>
      </c>
      <c r="J110">
        <f t="shared" si="8"/>
        <v>1</v>
      </c>
      <c r="K110">
        <f t="shared" si="9"/>
        <v>9</v>
      </c>
    </row>
    <row r="111" spans="1:11" x14ac:dyDescent="0.3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5"/>
        <v>0</v>
      </c>
      <c r="H111">
        <f t="shared" si="6"/>
        <v>82</v>
      </c>
      <c r="I111">
        <f t="shared" si="7"/>
        <v>117</v>
      </c>
      <c r="J111">
        <f t="shared" si="8"/>
        <v>11</v>
      </c>
      <c r="K111">
        <f t="shared" si="9"/>
        <v>9</v>
      </c>
    </row>
    <row r="112" spans="1:11" x14ac:dyDescent="0.3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5"/>
        <v>0</v>
      </c>
      <c r="H112">
        <f t="shared" si="6"/>
        <v>82</v>
      </c>
      <c r="I112">
        <f t="shared" si="7"/>
        <v>117</v>
      </c>
      <c r="J112">
        <f t="shared" si="8"/>
        <v>11</v>
      </c>
      <c r="K112">
        <f t="shared" si="9"/>
        <v>51</v>
      </c>
    </row>
    <row r="113" spans="1:11" x14ac:dyDescent="0.3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5"/>
        <v>0</v>
      </c>
      <c r="H113">
        <f t="shared" si="6"/>
        <v>82</v>
      </c>
      <c r="I113">
        <f t="shared" si="7"/>
        <v>117</v>
      </c>
      <c r="J113">
        <f t="shared" si="8"/>
        <v>0</v>
      </c>
      <c r="K113">
        <f t="shared" si="9"/>
        <v>51</v>
      </c>
    </row>
    <row r="114" spans="1:11" x14ac:dyDescent="0.3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5"/>
        <v>0</v>
      </c>
      <c r="H114">
        <f t="shared" si="6"/>
        <v>82</v>
      </c>
      <c r="I114">
        <f t="shared" si="7"/>
        <v>117</v>
      </c>
      <c r="J114">
        <f t="shared" si="8"/>
        <v>0</v>
      </c>
      <c r="K114">
        <f t="shared" si="9"/>
        <v>3</v>
      </c>
    </row>
    <row r="115" spans="1:11" x14ac:dyDescent="0.3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5"/>
        <v>0</v>
      </c>
      <c r="H115">
        <f t="shared" si="6"/>
        <v>82</v>
      </c>
      <c r="I115">
        <f t="shared" si="7"/>
        <v>137</v>
      </c>
      <c r="J115">
        <f t="shared" si="8"/>
        <v>0</v>
      </c>
      <c r="K115">
        <f t="shared" si="9"/>
        <v>3</v>
      </c>
    </row>
    <row r="116" spans="1:11" x14ac:dyDescent="0.3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5"/>
        <v>0</v>
      </c>
      <c r="H116">
        <f t="shared" si="6"/>
        <v>108</v>
      </c>
      <c r="I116">
        <f t="shared" si="7"/>
        <v>137</v>
      </c>
      <c r="J116">
        <f t="shared" si="8"/>
        <v>0</v>
      </c>
      <c r="K116">
        <f t="shared" si="9"/>
        <v>3</v>
      </c>
    </row>
    <row r="117" spans="1:11" x14ac:dyDescent="0.3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5"/>
        <v>24</v>
      </c>
      <c r="H117">
        <f t="shared" si="6"/>
        <v>108</v>
      </c>
      <c r="I117">
        <f t="shared" si="7"/>
        <v>137</v>
      </c>
      <c r="J117">
        <f t="shared" si="8"/>
        <v>0</v>
      </c>
      <c r="K117">
        <f t="shared" si="9"/>
        <v>3</v>
      </c>
    </row>
    <row r="118" spans="1:11" x14ac:dyDescent="0.3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5"/>
        <v>24</v>
      </c>
      <c r="H118">
        <f t="shared" si="6"/>
        <v>108</v>
      </c>
      <c r="I118">
        <f t="shared" si="7"/>
        <v>137</v>
      </c>
      <c r="J118">
        <f t="shared" si="8"/>
        <v>38</v>
      </c>
      <c r="K118">
        <f t="shared" si="9"/>
        <v>3</v>
      </c>
    </row>
    <row r="119" spans="1:11" x14ac:dyDescent="0.3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5"/>
        <v>24</v>
      </c>
      <c r="H119">
        <f t="shared" si="6"/>
        <v>108</v>
      </c>
      <c r="I119">
        <f t="shared" si="7"/>
        <v>151</v>
      </c>
      <c r="J119">
        <f t="shared" si="8"/>
        <v>38</v>
      </c>
      <c r="K119">
        <f t="shared" si="9"/>
        <v>3</v>
      </c>
    </row>
    <row r="120" spans="1:11" x14ac:dyDescent="0.3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5"/>
        <v>24</v>
      </c>
      <c r="H120">
        <f t="shared" si="6"/>
        <v>108</v>
      </c>
      <c r="I120">
        <f t="shared" si="7"/>
        <v>151</v>
      </c>
      <c r="J120">
        <f t="shared" si="8"/>
        <v>38</v>
      </c>
      <c r="K120">
        <f t="shared" si="9"/>
        <v>7</v>
      </c>
    </row>
    <row r="121" spans="1:11" x14ac:dyDescent="0.3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5"/>
        <v>24</v>
      </c>
      <c r="H121">
        <f t="shared" si="6"/>
        <v>89</v>
      </c>
      <c r="I121">
        <f t="shared" si="7"/>
        <v>151</v>
      </c>
      <c r="J121">
        <f t="shared" si="8"/>
        <v>38</v>
      </c>
      <c r="K121">
        <f t="shared" si="9"/>
        <v>7</v>
      </c>
    </row>
    <row r="122" spans="1:11" x14ac:dyDescent="0.3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5"/>
        <v>24</v>
      </c>
      <c r="H122">
        <f t="shared" si="6"/>
        <v>89</v>
      </c>
      <c r="I122">
        <f t="shared" si="7"/>
        <v>151</v>
      </c>
      <c r="J122">
        <f t="shared" si="8"/>
        <v>68</v>
      </c>
      <c r="K122">
        <f t="shared" si="9"/>
        <v>7</v>
      </c>
    </row>
    <row r="123" spans="1:11" x14ac:dyDescent="0.3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5"/>
        <v>24</v>
      </c>
      <c r="H123">
        <f t="shared" si="6"/>
        <v>89</v>
      </c>
      <c r="I123">
        <f t="shared" si="7"/>
        <v>151</v>
      </c>
      <c r="J123">
        <f t="shared" si="8"/>
        <v>68</v>
      </c>
      <c r="K123">
        <f t="shared" si="9"/>
        <v>1</v>
      </c>
    </row>
    <row r="124" spans="1:11" x14ac:dyDescent="0.3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5"/>
        <v>24</v>
      </c>
      <c r="H124">
        <f t="shared" si="6"/>
        <v>89</v>
      </c>
      <c r="I124">
        <f t="shared" si="7"/>
        <v>151</v>
      </c>
      <c r="J124">
        <f t="shared" si="8"/>
        <v>111</v>
      </c>
      <c r="K124">
        <f t="shared" si="9"/>
        <v>1</v>
      </c>
    </row>
    <row r="125" spans="1:11" x14ac:dyDescent="0.3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5"/>
        <v>24</v>
      </c>
      <c r="H125">
        <f t="shared" si="6"/>
        <v>89</v>
      </c>
      <c r="I125">
        <f t="shared" si="7"/>
        <v>151</v>
      </c>
      <c r="J125">
        <f t="shared" si="8"/>
        <v>111</v>
      </c>
      <c r="K125">
        <f t="shared" si="9"/>
        <v>0</v>
      </c>
    </row>
    <row r="126" spans="1:11" x14ac:dyDescent="0.3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5"/>
        <v>24</v>
      </c>
      <c r="H126">
        <f t="shared" si="6"/>
        <v>89</v>
      </c>
      <c r="I126">
        <f t="shared" si="7"/>
        <v>4</v>
      </c>
      <c r="J126">
        <f t="shared" si="8"/>
        <v>111</v>
      </c>
      <c r="K126">
        <f t="shared" si="9"/>
        <v>0</v>
      </c>
    </row>
    <row r="127" spans="1:11" x14ac:dyDescent="0.3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5"/>
        <v>39</v>
      </c>
      <c r="H127">
        <f t="shared" si="6"/>
        <v>89</v>
      </c>
      <c r="I127">
        <f t="shared" si="7"/>
        <v>4</v>
      </c>
      <c r="J127">
        <f t="shared" si="8"/>
        <v>111</v>
      </c>
      <c r="K127">
        <f t="shared" si="9"/>
        <v>0</v>
      </c>
    </row>
    <row r="128" spans="1:11" x14ac:dyDescent="0.3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5"/>
        <v>39</v>
      </c>
      <c r="H128">
        <f t="shared" si="6"/>
        <v>89</v>
      </c>
      <c r="I128">
        <f t="shared" si="7"/>
        <v>4</v>
      </c>
      <c r="J128">
        <f t="shared" si="8"/>
        <v>135</v>
      </c>
      <c r="K128">
        <f t="shared" si="9"/>
        <v>0</v>
      </c>
    </row>
    <row r="129" spans="1:11" x14ac:dyDescent="0.3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5"/>
        <v>39</v>
      </c>
      <c r="H129">
        <f t="shared" si="6"/>
        <v>108</v>
      </c>
      <c r="I129">
        <f t="shared" si="7"/>
        <v>4</v>
      </c>
      <c r="J129">
        <f t="shared" si="8"/>
        <v>135</v>
      </c>
      <c r="K129">
        <f t="shared" si="9"/>
        <v>0</v>
      </c>
    </row>
    <row r="130" spans="1:11" x14ac:dyDescent="0.3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5"/>
        <v>39</v>
      </c>
      <c r="H130">
        <f t="shared" si="6"/>
        <v>108</v>
      </c>
      <c r="I130">
        <f t="shared" si="7"/>
        <v>4</v>
      </c>
      <c r="J130">
        <f t="shared" si="8"/>
        <v>1</v>
      </c>
      <c r="K130">
        <f t="shared" si="9"/>
        <v>0</v>
      </c>
    </row>
    <row r="131" spans="1:11" x14ac:dyDescent="0.3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5"/>
        <v>39</v>
      </c>
      <c r="H131">
        <f t="shared" si="6"/>
        <v>108</v>
      </c>
      <c r="I131">
        <f t="shared" si="7"/>
        <v>4</v>
      </c>
      <c r="J131">
        <f t="shared" si="8"/>
        <v>1</v>
      </c>
      <c r="K131">
        <f t="shared" si="9"/>
        <v>12</v>
      </c>
    </row>
    <row r="132" spans="1:11" x14ac:dyDescent="0.3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10">IF($C132="T1",IF($D132="Z",G131+$E132,G131-$E132),G131)</f>
        <v>39</v>
      </c>
      <c r="H132">
        <f t="shared" ref="H132:H195" si="11">IF($C132="T2",IF($D132="Z",H131+$E132,H131-$E132),H131)</f>
        <v>108</v>
      </c>
      <c r="I132">
        <f t="shared" ref="I132:I195" si="12">IF($C132="T3",IF($D132="Z",I131+$E132,I131-$E132),I131)</f>
        <v>0</v>
      </c>
      <c r="J132">
        <f t="shared" ref="J132:J195" si="13">IF($C132="T4",IF($D132="Z",J131+$E132,J131-$E132),J131)</f>
        <v>1</v>
      </c>
      <c r="K132">
        <f t="shared" ref="K132:K195" si="14">IF($C132="T5",IF($D132="Z",K131+$E132,K131-$E132),K131)</f>
        <v>12</v>
      </c>
    </row>
    <row r="133" spans="1:11" x14ac:dyDescent="0.3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10"/>
        <v>65</v>
      </c>
      <c r="H133">
        <f t="shared" si="11"/>
        <v>108</v>
      </c>
      <c r="I133">
        <f t="shared" si="12"/>
        <v>0</v>
      </c>
      <c r="J133">
        <f t="shared" si="13"/>
        <v>1</v>
      </c>
      <c r="K133">
        <f t="shared" si="14"/>
        <v>12</v>
      </c>
    </row>
    <row r="134" spans="1:11" x14ac:dyDescent="0.3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10"/>
        <v>65</v>
      </c>
      <c r="H134">
        <f t="shared" si="11"/>
        <v>108</v>
      </c>
      <c r="I134">
        <f t="shared" si="12"/>
        <v>0</v>
      </c>
      <c r="J134">
        <f t="shared" si="13"/>
        <v>39</v>
      </c>
      <c r="K134">
        <f t="shared" si="14"/>
        <v>12</v>
      </c>
    </row>
    <row r="135" spans="1:11" x14ac:dyDescent="0.3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10"/>
        <v>65</v>
      </c>
      <c r="H135">
        <f t="shared" si="11"/>
        <v>108</v>
      </c>
      <c r="I135">
        <f t="shared" si="12"/>
        <v>0</v>
      </c>
      <c r="J135">
        <f t="shared" si="13"/>
        <v>1</v>
      </c>
      <c r="K135">
        <f t="shared" si="14"/>
        <v>12</v>
      </c>
    </row>
    <row r="136" spans="1:11" x14ac:dyDescent="0.3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10"/>
        <v>65</v>
      </c>
      <c r="H136">
        <f t="shared" si="11"/>
        <v>64</v>
      </c>
      <c r="I136">
        <f t="shared" si="12"/>
        <v>0</v>
      </c>
      <c r="J136">
        <f t="shared" si="13"/>
        <v>1</v>
      </c>
      <c r="K136">
        <f t="shared" si="14"/>
        <v>12</v>
      </c>
    </row>
    <row r="137" spans="1:11" x14ac:dyDescent="0.3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10"/>
        <v>86</v>
      </c>
      <c r="H137">
        <f t="shared" si="11"/>
        <v>64</v>
      </c>
      <c r="I137">
        <f t="shared" si="12"/>
        <v>0</v>
      </c>
      <c r="J137">
        <f t="shared" si="13"/>
        <v>1</v>
      </c>
      <c r="K137">
        <f t="shared" si="14"/>
        <v>12</v>
      </c>
    </row>
    <row r="138" spans="1:11" x14ac:dyDescent="0.3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10"/>
        <v>86</v>
      </c>
      <c r="H138">
        <f t="shared" si="11"/>
        <v>64</v>
      </c>
      <c r="I138">
        <f t="shared" si="12"/>
        <v>0</v>
      </c>
      <c r="J138">
        <f t="shared" si="13"/>
        <v>1</v>
      </c>
      <c r="K138">
        <f t="shared" si="14"/>
        <v>22</v>
      </c>
    </row>
    <row r="139" spans="1:11" x14ac:dyDescent="0.3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10"/>
        <v>86</v>
      </c>
      <c r="H139">
        <f t="shared" si="11"/>
        <v>49</v>
      </c>
      <c r="I139">
        <f t="shared" si="12"/>
        <v>0</v>
      </c>
      <c r="J139">
        <f t="shared" si="13"/>
        <v>1</v>
      </c>
      <c r="K139">
        <f t="shared" si="14"/>
        <v>22</v>
      </c>
    </row>
    <row r="140" spans="1:11" x14ac:dyDescent="0.3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10"/>
        <v>86</v>
      </c>
      <c r="H140">
        <f t="shared" si="11"/>
        <v>49</v>
      </c>
      <c r="I140">
        <f t="shared" si="12"/>
        <v>0</v>
      </c>
      <c r="J140">
        <f t="shared" si="13"/>
        <v>1</v>
      </c>
      <c r="K140">
        <f t="shared" si="14"/>
        <v>0</v>
      </c>
    </row>
    <row r="141" spans="1:11" x14ac:dyDescent="0.3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10"/>
        <v>86</v>
      </c>
      <c r="H141">
        <f t="shared" si="11"/>
        <v>49</v>
      </c>
      <c r="I141">
        <f t="shared" si="12"/>
        <v>0</v>
      </c>
      <c r="J141">
        <f t="shared" si="13"/>
        <v>10</v>
      </c>
      <c r="K141">
        <f t="shared" si="14"/>
        <v>0</v>
      </c>
    </row>
    <row r="142" spans="1:11" x14ac:dyDescent="0.3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10"/>
        <v>86</v>
      </c>
      <c r="H142">
        <f t="shared" si="11"/>
        <v>49</v>
      </c>
      <c r="I142">
        <f t="shared" si="12"/>
        <v>6</v>
      </c>
      <c r="J142">
        <f t="shared" si="13"/>
        <v>10</v>
      </c>
      <c r="K142">
        <f t="shared" si="14"/>
        <v>0</v>
      </c>
    </row>
    <row r="143" spans="1:11" x14ac:dyDescent="0.3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10"/>
        <v>90</v>
      </c>
      <c r="H143">
        <f t="shared" si="11"/>
        <v>49</v>
      </c>
      <c r="I143">
        <f t="shared" si="12"/>
        <v>6</v>
      </c>
      <c r="J143">
        <f t="shared" si="13"/>
        <v>10</v>
      </c>
      <c r="K143">
        <f t="shared" si="14"/>
        <v>0</v>
      </c>
    </row>
    <row r="144" spans="1:11" x14ac:dyDescent="0.3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10"/>
        <v>90</v>
      </c>
      <c r="H144">
        <f t="shared" si="11"/>
        <v>49</v>
      </c>
      <c r="I144">
        <f t="shared" si="12"/>
        <v>0</v>
      </c>
      <c r="J144">
        <f t="shared" si="13"/>
        <v>10</v>
      </c>
      <c r="K144">
        <f t="shared" si="14"/>
        <v>0</v>
      </c>
    </row>
    <row r="145" spans="1:11" x14ac:dyDescent="0.3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10"/>
        <v>90</v>
      </c>
      <c r="H145">
        <f t="shared" si="11"/>
        <v>49</v>
      </c>
      <c r="I145">
        <f t="shared" si="12"/>
        <v>0</v>
      </c>
      <c r="J145">
        <f t="shared" si="13"/>
        <v>58</v>
      </c>
      <c r="K145">
        <f t="shared" si="14"/>
        <v>0</v>
      </c>
    </row>
    <row r="146" spans="1:11" x14ac:dyDescent="0.3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10"/>
        <v>90</v>
      </c>
      <c r="H146">
        <f t="shared" si="11"/>
        <v>49</v>
      </c>
      <c r="I146">
        <f t="shared" si="12"/>
        <v>0</v>
      </c>
      <c r="J146">
        <f t="shared" si="13"/>
        <v>58</v>
      </c>
      <c r="K146">
        <f t="shared" si="14"/>
        <v>34</v>
      </c>
    </row>
    <row r="147" spans="1:11" x14ac:dyDescent="0.3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10"/>
        <v>90</v>
      </c>
      <c r="H147">
        <f t="shared" si="11"/>
        <v>0</v>
      </c>
      <c r="I147">
        <f t="shared" si="12"/>
        <v>0</v>
      </c>
      <c r="J147">
        <f t="shared" si="13"/>
        <v>58</v>
      </c>
      <c r="K147">
        <f t="shared" si="14"/>
        <v>34</v>
      </c>
    </row>
    <row r="148" spans="1:11" x14ac:dyDescent="0.3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10"/>
        <v>100</v>
      </c>
      <c r="H148">
        <f t="shared" si="11"/>
        <v>0</v>
      </c>
      <c r="I148">
        <f t="shared" si="12"/>
        <v>0</v>
      </c>
      <c r="J148">
        <f t="shared" si="13"/>
        <v>58</v>
      </c>
      <c r="K148">
        <f t="shared" si="14"/>
        <v>34</v>
      </c>
    </row>
    <row r="149" spans="1:11" x14ac:dyDescent="0.3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10"/>
        <v>100</v>
      </c>
      <c r="H149">
        <f t="shared" si="11"/>
        <v>0</v>
      </c>
      <c r="I149">
        <f t="shared" si="12"/>
        <v>47</v>
      </c>
      <c r="J149">
        <f t="shared" si="13"/>
        <v>58</v>
      </c>
      <c r="K149">
        <f t="shared" si="14"/>
        <v>34</v>
      </c>
    </row>
    <row r="150" spans="1:11" x14ac:dyDescent="0.3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10"/>
        <v>100</v>
      </c>
      <c r="H150">
        <f t="shared" si="11"/>
        <v>0</v>
      </c>
      <c r="I150">
        <f t="shared" si="12"/>
        <v>47</v>
      </c>
      <c r="J150">
        <f t="shared" si="13"/>
        <v>106</v>
      </c>
      <c r="K150">
        <f t="shared" si="14"/>
        <v>34</v>
      </c>
    </row>
    <row r="151" spans="1:11" x14ac:dyDescent="0.3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10"/>
        <v>100</v>
      </c>
      <c r="H151">
        <f t="shared" si="11"/>
        <v>0</v>
      </c>
      <c r="I151">
        <f t="shared" si="12"/>
        <v>47</v>
      </c>
      <c r="J151">
        <f t="shared" si="13"/>
        <v>106</v>
      </c>
      <c r="K151">
        <f t="shared" si="14"/>
        <v>0</v>
      </c>
    </row>
    <row r="152" spans="1:11" x14ac:dyDescent="0.3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10"/>
        <v>105</v>
      </c>
      <c r="H152">
        <f t="shared" si="11"/>
        <v>0</v>
      </c>
      <c r="I152">
        <f t="shared" si="12"/>
        <v>47</v>
      </c>
      <c r="J152">
        <f t="shared" si="13"/>
        <v>106</v>
      </c>
      <c r="K152">
        <f t="shared" si="14"/>
        <v>0</v>
      </c>
    </row>
    <row r="153" spans="1:11" x14ac:dyDescent="0.3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10"/>
        <v>105</v>
      </c>
      <c r="H153">
        <f t="shared" si="11"/>
        <v>0</v>
      </c>
      <c r="I153">
        <f t="shared" si="12"/>
        <v>1</v>
      </c>
      <c r="J153">
        <f t="shared" si="13"/>
        <v>106</v>
      </c>
      <c r="K153">
        <f t="shared" si="14"/>
        <v>0</v>
      </c>
    </row>
    <row r="154" spans="1:11" x14ac:dyDescent="0.3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10"/>
        <v>105</v>
      </c>
      <c r="H154">
        <f t="shared" si="11"/>
        <v>0</v>
      </c>
      <c r="I154">
        <f t="shared" si="12"/>
        <v>1</v>
      </c>
      <c r="J154">
        <f t="shared" si="13"/>
        <v>155</v>
      </c>
      <c r="K154">
        <f t="shared" si="14"/>
        <v>0</v>
      </c>
    </row>
    <row r="155" spans="1:11" x14ac:dyDescent="0.3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10"/>
        <v>121</v>
      </c>
      <c r="H155">
        <f t="shared" si="11"/>
        <v>0</v>
      </c>
      <c r="I155">
        <f t="shared" si="12"/>
        <v>1</v>
      </c>
      <c r="J155">
        <f t="shared" si="13"/>
        <v>155</v>
      </c>
      <c r="K155">
        <f t="shared" si="14"/>
        <v>0</v>
      </c>
    </row>
    <row r="156" spans="1:11" x14ac:dyDescent="0.3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10"/>
        <v>121</v>
      </c>
      <c r="H156">
        <f t="shared" si="11"/>
        <v>0</v>
      </c>
      <c r="I156">
        <f t="shared" si="12"/>
        <v>1</v>
      </c>
      <c r="J156">
        <f t="shared" si="13"/>
        <v>155</v>
      </c>
      <c r="K156">
        <f t="shared" si="14"/>
        <v>5</v>
      </c>
    </row>
    <row r="157" spans="1:11" x14ac:dyDescent="0.3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10"/>
        <v>121</v>
      </c>
      <c r="H157">
        <f t="shared" si="11"/>
        <v>0</v>
      </c>
      <c r="I157">
        <f t="shared" si="12"/>
        <v>0</v>
      </c>
      <c r="J157">
        <f t="shared" si="13"/>
        <v>155</v>
      </c>
      <c r="K157">
        <f t="shared" si="14"/>
        <v>5</v>
      </c>
    </row>
    <row r="158" spans="1:11" x14ac:dyDescent="0.3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10"/>
        <v>155</v>
      </c>
      <c r="H158">
        <f t="shared" si="11"/>
        <v>0</v>
      </c>
      <c r="I158">
        <f t="shared" si="12"/>
        <v>0</v>
      </c>
      <c r="J158">
        <f t="shared" si="13"/>
        <v>155</v>
      </c>
      <c r="K158">
        <f t="shared" si="14"/>
        <v>5</v>
      </c>
    </row>
    <row r="159" spans="1:11" x14ac:dyDescent="0.3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10"/>
        <v>155</v>
      </c>
      <c r="H159">
        <f t="shared" si="11"/>
        <v>0</v>
      </c>
      <c r="I159">
        <f t="shared" si="12"/>
        <v>0</v>
      </c>
      <c r="J159">
        <f t="shared" si="13"/>
        <v>184</v>
      </c>
      <c r="K159">
        <f t="shared" si="14"/>
        <v>5</v>
      </c>
    </row>
    <row r="160" spans="1:11" x14ac:dyDescent="0.3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10"/>
        <v>155</v>
      </c>
      <c r="H160">
        <f t="shared" si="11"/>
        <v>34</v>
      </c>
      <c r="I160">
        <f t="shared" si="12"/>
        <v>0</v>
      </c>
      <c r="J160">
        <f t="shared" si="13"/>
        <v>184</v>
      </c>
      <c r="K160">
        <f t="shared" si="14"/>
        <v>5</v>
      </c>
    </row>
    <row r="161" spans="1:11" x14ac:dyDescent="0.3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10"/>
        <v>155</v>
      </c>
      <c r="H161">
        <f t="shared" si="11"/>
        <v>34</v>
      </c>
      <c r="I161">
        <f t="shared" si="12"/>
        <v>27</v>
      </c>
      <c r="J161">
        <f t="shared" si="13"/>
        <v>184</v>
      </c>
      <c r="K161">
        <f t="shared" si="14"/>
        <v>5</v>
      </c>
    </row>
    <row r="162" spans="1:11" x14ac:dyDescent="0.3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10"/>
        <v>195</v>
      </c>
      <c r="H162">
        <f t="shared" si="11"/>
        <v>34</v>
      </c>
      <c r="I162">
        <f t="shared" si="12"/>
        <v>27</v>
      </c>
      <c r="J162">
        <f t="shared" si="13"/>
        <v>184</v>
      </c>
      <c r="K162">
        <f t="shared" si="14"/>
        <v>5</v>
      </c>
    </row>
    <row r="163" spans="1:11" x14ac:dyDescent="0.3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10"/>
        <v>195</v>
      </c>
      <c r="H163">
        <f t="shared" si="11"/>
        <v>34</v>
      </c>
      <c r="I163">
        <f t="shared" si="12"/>
        <v>27</v>
      </c>
      <c r="J163">
        <f t="shared" si="13"/>
        <v>0</v>
      </c>
      <c r="K163">
        <f t="shared" si="14"/>
        <v>5</v>
      </c>
    </row>
    <row r="164" spans="1:11" x14ac:dyDescent="0.3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10"/>
        <v>195</v>
      </c>
      <c r="H164">
        <f t="shared" si="11"/>
        <v>34</v>
      </c>
      <c r="I164">
        <f t="shared" si="12"/>
        <v>27</v>
      </c>
      <c r="J164">
        <f t="shared" si="13"/>
        <v>0</v>
      </c>
      <c r="K164">
        <f t="shared" si="14"/>
        <v>53</v>
      </c>
    </row>
    <row r="165" spans="1:11" x14ac:dyDescent="0.3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10"/>
        <v>195</v>
      </c>
      <c r="H165">
        <f t="shared" si="11"/>
        <v>55</v>
      </c>
      <c r="I165">
        <f t="shared" si="12"/>
        <v>27</v>
      </c>
      <c r="J165">
        <f t="shared" si="13"/>
        <v>0</v>
      </c>
      <c r="K165">
        <f t="shared" si="14"/>
        <v>53</v>
      </c>
    </row>
    <row r="166" spans="1:11" x14ac:dyDescent="0.3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10"/>
        <v>195</v>
      </c>
      <c r="H166">
        <f t="shared" si="11"/>
        <v>55</v>
      </c>
      <c r="I166">
        <f t="shared" si="12"/>
        <v>27</v>
      </c>
      <c r="J166">
        <f t="shared" si="13"/>
        <v>47</v>
      </c>
      <c r="K166">
        <f t="shared" si="14"/>
        <v>53</v>
      </c>
    </row>
    <row r="167" spans="1:11" x14ac:dyDescent="0.3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10"/>
        <v>195</v>
      </c>
      <c r="H167">
        <f t="shared" si="11"/>
        <v>61</v>
      </c>
      <c r="I167">
        <f t="shared" si="12"/>
        <v>27</v>
      </c>
      <c r="J167">
        <f t="shared" si="13"/>
        <v>47</v>
      </c>
      <c r="K167">
        <f t="shared" si="14"/>
        <v>53</v>
      </c>
    </row>
    <row r="168" spans="1:11" x14ac:dyDescent="0.3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10"/>
        <v>195</v>
      </c>
      <c r="H168">
        <f t="shared" si="11"/>
        <v>61</v>
      </c>
      <c r="I168">
        <f t="shared" si="12"/>
        <v>27</v>
      </c>
      <c r="J168">
        <f t="shared" si="13"/>
        <v>47</v>
      </c>
      <c r="K168">
        <f t="shared" si="14"/>
        <v>100</v>
      </c>
    </row>
    <row r="169" spans="1:11" x14ac:dyDescent="0.3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10"/>
        <v>3</v>
      </c>
      <c r="H169">
        <f t="shared" si="11"/>
        <v>61</v>
      </c>
      <c r="I169">
        <f t="shared" si="12"/>
        <v>27</v>
      </c>
      <c r="J169">
        <f t="shared" si="13"/>
        <v>47</v>
      </c>
      <c r="K169">
        <f t="shared" si="14"/>
        <v>100</v>
      </c>
    </row>
    <row r="170" spans="1:11" x14ac:dyDescent="0.3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10"/>
        <v>3</v>
      </c>
      <c r="H170">
        <f t="shared" si="11"/>
        <v>13</v>
      </c>
      <c r="I170">
        <f t="shared" si="12"/>
        <v>27</v>
      </c>
      <c r="J170">
        <f t="shared" si="13"/>
        <v>47</v>
      </c>
      <c r="K170">
        <f t="shared" si="14"/>
        <v>100</v>
      </c>
    </row>
    <row r="171" spans="1:11" x14ac:dyDescent="0.3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10"/>
        <v>3</v>
      </c>
      <c r="H171">
        <f t="shared" si="11"/>
        <v>13</v>
      </c>
      <c r="I171">
        <f t="shared" si="12"/>
        <v>27</v>
      </c>
      <c r="J171">
        <f t="shared" si="13"/>
        <v>65</v>
      </c>
      <c r="K171">
        <f t="shared" si="14"/>
        <v>100</v>
      </c>
    </row>
    <row r="172" spans="1:11" x14ac:dyDescent="0.3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10"/>
        <v>3</v>
      </c>
      <c r="H172">
        <f t="shared" si="11"/>
        <v>13</v>
      </c>
      <c r="I172">
        <f t="shared" si="12"/>
        <v>27</v>
      </c>
      <c r="J172">
        <f t="shared" si="13"/>
        <v>65</v>
      </c>
      <c r="K172">
        <f t="shared" si="14"/>
        <v>125</v>
      </c>
    </row>
    <row r="173" spans="1:11" x14ac:dyDescent="0.3">
      <c r="A173" s="5">
        <v>43292</v>
      </c>
      <c r="B173" s="6" t="s">
        <v>20</v>
      </c>
      <c r="C173" s="6" t="s">
        <v>12</v>
      </c>
      <c r="D173" s="6" t="s">
        <v>8</v>
      </c>
      <c r="E173" s="6">
        <v>2</v>
      </c>
      <c r="F173" s="6">
        <v>20</v>
      </c>
      <c r="G173" s="6">
        <f t="shared" si="10"/>
        <v>3</v>
      </c>
      <c r="H173" s="6">
        <f t="shared" si="11"/>
        <v>13</v>
      </c>
      <c r="I173" s="6">
        <f t="shared" si="12"/>
        <v>29</v>
      </c>
      <c r="J173" s="6">
        <f t="shared" si="13"/>
        <v>65</v>
      </c>
      <c r="K173" s="6">
        <f t="shared" si="14"/>
        <v>125</v>
      </c>
    </row>
    <row r="174" spans="1:11" x14ac:dyDescent="0.3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10"/>
        <v>3</v>
      </c>
      <c r="H174">
        <f t="shared" si="11"/>
        <v>0</v>
      </c>
      <c r="I174">
        <f t="shared" si="12"/>
        <v>29</v>
      </c>
      <c r="J174">
        <f t="shared" si="13"/>
        <v>65</v>
      </c>
      <c r="K174">
        <f t="shared" si="14"/>
        <v>125</v>
      </c>
    </row>
    <row r="175" spans="1:11" x14ac:dyDescent="0.3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10"/>
        <v>3</v>
      </c>
      <c r="H175">
        <f t="shared" si="11"/>
        <v>0</v>
      </c>
      <c r="I175">
        <f t="shared" si="12"/>
        <v>29</v>
      </c>
      <c r="J175">
        <f t="shared" si="13"/>
        <v>65</v>
      </c>
      <c r="K175">
        <f t="shared" si="14"/>
        <v>4</v>
      </c>
    </row>
    <row r="176" spans="1:11" x14ac:dyDescent="0.3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10"/>
        <v>3</v>
      </c>
      <c r="H176">
        <f t="shared" si="11"/>
        <v>0</v>
      </c>
      <c r="I176">
        <f t="shared" si="12"/>
        <v>59</v>
      </c>
      <c r="J176">
        <f t="shared" si="13"/>
        <v>65</v>
      </c>
      <c r="K176">
        <f t="shared" si="14"/>
        <v>4</v>
      </c>
    </row>
    <row r="177" spans="1:11" x14ac:dyDescent="0.3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10"/>
        <v>49</v>
      </c>
      <c r="H177">
        <f t="shared" si="11"/>
        <v>0</v>
      </c>
      <c r="I177">
        <f t="shared" si="12"/>
        <v>59</v>
      </c>
      <c r="J177">
        <f t="shared" si="13"/>
        <v>65</v>
      </c>
      <c r="K177">
        <f t="shared" si="14"/>
        <v>4</v>
      </c>
    </row>
    <row r="178" spans="1:11" x14ac:dyDescent="0.3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10"/>
        <v>0</v>
      </c>
      <c r="H178">
        <f t="shared" si="11"/>
        <v>0</v>
      </c>
      <c r="I178">
        <f t="shared" si="12"/>
        <v>59</v>
      </c>
      <c r="J178">
        <f t="shared" si="13"/>
        <v>65</v>
      </c>
      <c r="K178">
        <f t="shared" si="14"/>
        <v>4</v>
      </c>
    </row>
    <row r="179" spans="1:11" x14ac:dyDescent="0.3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10"/>
        <v>0</v>
      </c>
      <c r="H179">
        <f t="shared" si="11"/>
        <v>0</v>
      </c>
      <c r="I179">
        <f t="shared" si="12"/>
        <v>59</v>
      </c>
      <c r="J179">
        <f t="shared" si="13"/>
        <v>4</v>
      </c>
      <c r="K179">
        <f t="shared" si="14"/>
        <v>4</v>
      </c>
    </row>
    <row r="180" spans="1:11" x14ac:dyDescent="0.3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10"/>
        <v>0</v>
      </c>
      <c r="H180">
        <f t="shared" si="11"/>
        <v>0</v>
      </c>
      <c r="I180">
        <f t="shared" si="12"/>
        <v>78</v>
      </c>
      <c r="J180">
        <f t="shared" si="13"/>
        <v>4</v>
      </c>
      <c r="K180">
        <f t="shared" si="14"/>
        <v>4</v>
      </c>
    </row>
    <row r="181" spans="1:11" x14ac:dyDescent="0.3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10"/>
        <v>0</v>
      </c>
      <c r="H181">
        <f t="shared" si="11"/>
        <v>0</v>
      </c>
      <c r="I181">
        <f t="shared" si="12"/>
        <v>78</v>
      </c>
      <c r="J181">
        <f t="shared" si="13"/>
        <v>4</v>
      </c>
      <c r="K181">
        <f t="shared" si="14"/>
        <v>26</v>
      </c>
    </row>
    <row r="182" spans="1:11" x14ac:dyDescent="0.3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10"/>
        <v>0</v>
      </c>
      <c r="H182">
        <f t="shared" si="11"/>
        <v>9</v>
      </c>
      <c r="I182">
        <f t="shared" si="12"/>
        <v>78</v>
      </c>
      <c r="J182">
        <f t="shared" si="13"/>
        <v>4</v>
      </c>
      <c r="K182">
        <f t="shared" si="14"/>
        <v>26</v>
      </c>
    </row>
    <row r="183" spans="1:11" x14ac:dyDescent="0.3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10"/>
        <v>0</v>
      </c>
      <c r="H183">
        <f t="shared" si="11"/>
        <v>9</v>
      </c>
      <c r="I183">
        <f t="shared" si="12"/>
        <v>78</v>
      </c>
      <c r="J183">
        <f t="shared" si="13"/>
        <v>0</v>
      </c>
      <c r="K183">
        <f t="shared" si="14"/>
        <v>26</v>
      </c>
    </row>
    <row r="184" spans="1:11" x14ac:dyDescent="0.3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10"/>
        <v>0</v>
      </c>
      <c r="H184">
        <f t="shared" si="11"/>
        <v>9</v>
      </c>
      <c r="I184">
        <f t="shared" si="12"/>
        <v>86</v>
      </c>
      <c r="J184">
        <f t="shared" si="13"/>
        <v>0</v>
      </c>
      <c r="K184">
        <f t="shared" si="14"/>
        <v>26</v>
      </c>
    </row>
    <row r="185" spans="1:11" x14ac:dyDescent="0.3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10"/>
        <v>47</v>
      </c>
      <c r="H185">
        <f t="shared" si="11"/>
        <v>9</v>
      </c>
      <c r="I185">
        <f t="shared" si="12"/>
        <v>86</v>
      </c>
      <c r="J185">
        <f t="shared" si="13"/>
        <v>0</v>
      </c>
      <c r="K185">
        <f t="shared" si="14"/>
        <v>26</v>
      </c>
    </row>
    <row r="186" spans="1:11" x14ac:dyDescent="0.3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10"/>
        <v>47</v>
      </c>
      <c r="H186">
        <f t="shared" si="11"/>
        <v>9</v>
      </c>
      <c r="I186">
        <f t="shared" si="12"/>
        <v>4</v>
      </c>
      <c r="J186">
        <f t="shared" si="13"/>
        <v>0</v>
      </c>
      <c r="K186">
        <f t="shared" si="14"/>
        <v>26</v>
      </c>
    </row>
    <row r="187" spans="1:11" x14ac:dyDescent="0.3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10"/>
        <v>47</v>
      </c>
      <c r="H187">
        <f t="shared" si="11"/>
        <v>9</v>
      </c>
      <c r="I187">
        <f t="shared" si="12"/>
        <v>4</v>
      </c>
      <c r="J187">
        <f t="shared" si="13"/>
        <v>0</v>
      </c>
      <c r="K187">
        <f t="shared" si="14"/>
        <v>0</v>
      </c>
    </row>
    <row r="188" spans="1:11" x14ac:dyDescent="0.3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10"/>
        <v>71</v>
      </c>
      <c r="H188">
        <f t="shared" si="11"/>
        <v>9</v>
      </c>
      <c r="I188">
        <f t="shared" si="12"/>
        <v>4</v>
      </c>
      <c r="J188">
        <f t="shared" si="13"/>
        <v>0</v>
      </c>
      <c r="K188">
        <f t="shared" si="14"/>
        <v>0</v>
      </c>
    </row>
    <row r="189" spans="1:11" x14ac:dyDescent="0.3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10"/>
        <v>71</v>
      </c>
      <c r="H189">
        <f t="shared" si="11"/>
        <v>45</v>
      </c>
      <c r="I189">
        <f t="shared" si="12"/>
        <v>4</v>
      </c>
      <c r="J189">
        <f t="shared" si="13"/>
        <v>0</v>
      </c>
      <c r="K189">
        <f t="shared" si="14"/>
        <v>0</v>
      </c>
    </row>
    <row r="190" spans="1:11" x14ac:dyDescent="0.3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10"/>
        <v>71</v>
      </c>
      <c r="H190">
        <f t="shared" si="11"/>
        <v>45</v>
      </c>
      <c r="I190">
        <f t="shared" si="12"/>
        <v>4</v>
      </c>
      <c r="J190">
        <f t="shared" si="13"/>
        <v>6</v>
      </c>
      <c r="K190">
        <f t="shared" si="14"/>
        <v>0</v>
      </c>
    </row>
    <row r="191" spans="1:11" x14ac:dyDescent="0.3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10"/>
        <v>71</v>
      </c>
      <c r="H191">
        <f t="shared" si="11"/>
        <v>0</v>
      </c>
      <c r="I191">
        <f t="shared" si="12"/>
        <v>4</v>
      </c>
      <c r="J191">
        <f t="shared" si="13"/>
        <v>6</v>
      </c>
      <c r="K191">
        <f t="shared" si="14"/>
        <v>0</v>
      </c>
    </row>
    <row r="192" spans="1:11" x14ac:dyDescent="0.3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10"/>
        <v>89</v>
      </c>
      <c r="H192">
        <f t="shared" si="11"/>
        <v>0</v>
      </c>
      <c r="I192">
        <f t="shared" si="12"/>
        <v>4</v>
      </c>
      <c r="J192">
        <f t="shared" si="13"/>
        <v>6</v>
      </c>
      <c r="K192">
        <f t="shared" si="14"/>
        <v>0</v>
      </c>
    </row>
    <row r="193" spans="1:11" x14ac:dyDescent="0.3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10"/>
        <v>89</v>
      </c>
      <c r="H193">
        <f t="shared" si="11"/>
        <v>0</v>
      </c>
      <c r="I193">
        <f t="shared" si="12"/>
        <v>4</v>
      </c>
      <c r="J193">
        <f t="shared" si="13"/>
        <v>6</v>
      </c>
      <c r="K193">
        <f t="shared" si="14"/>
        <v>20</v>
      </c>
    </row>
    <row r="194" spans="1:11" x14ac:dyDescent="0.3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10"/>
        <v>89</v>
      </c>
      <c r="H194">
        <f t="shared" si="11"/>
        <v>0</v>
      </c>
      <c r="I194">
        <f t="shared" si="12"/>
        <v>0</v>
      </c>
      <c r="J194">
        <f t="shared" si="13"/>
        <v>6</v>
      </c>
      <c r="K194">
        <f t="shared" si="14"/>
        <v>20</v>
      </c>
    </row>
    <row r="195" spans="1:11" x14ac:dyDescent="0.3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10"/>
        <v>89</v>
      </c>
      <c r="H195">
        <f t="shared" si="11"/>
        <v>0</v>
      </c>
      <c r="I195">
        <f t="shared" si="12"/>
        <v>0</v>
      </c>
      <c r="J195">
        <f t="shared" si="13"/>
        <v>6</v>
      </c>
      <c r="K195">
        <f t="shared" si="14"/>
        <v>68</v>
      </c>
    </row>
    <row r="196" spans="1:11" x14ac:dyDescent="0.3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15">IF($C196="T1",IF($D196="Z",G195+$E196,G195-$E196),G195)</f>
        <v>89</v>
      </c>
      <c r="H196">
        <f t="shared" ref="H196:H203" si="16">IF($C196="T2",IF($D196="Z",H195+$E196,H195-$E196),H195)</f>
        <v>0</v>
      </c>
      <c r="I196">
        <f t="shared" ref="I196:I203" si="17">IF($C196="T3",IF($D196="Z",I195+$E196,I195-$E196),I195)</f>
        <v>0</v>
      </c>
      <c r="J196">
        <f t="shared" ref="J196:J203" si="18">IF($C196="T4",IF($D196="Z",J195+$E196,J195-$E196),J195)</f>
        <v>6</v>
      </c>
      <c r="K196">
        <f t="shared" ref="K196:K203" si="19">IF($C196="T5",IF($D196="Z",K195+$E196,K195-$E196),K195)</f>
        <v>4</v>
      </c>
    </row>
    <row r="197" spans="1:11" x14ac:dyDescent="0.3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15"/>
        <v>89</v>
      </c>
      <c r="H197">
        <f t="shared" si="16"/>
        <v>0</v>
      </c>
      <c r="I197">
        <f t="shared" si="17"/>
        <v>0</v>
      </c>
      <c r="J197">
        <f t="shared" si="18"/>
        <v>49</v>
      </c>
      <c r="K197">
        <f t="shared" si="19"/>
        <v>4</v>
      </c>
    </row>
    <row r="198" spans="1:11" x14ac:dyDescent="0.3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15"/>
        <v>89</v>
      </c>
      <c r="H198">
        <f t="shared" si="16"/>
        <v>24</v>
      </c>
      <c r="I198">
        <f t="shared" si="17"/>
        <v>0</v>
      </c>
      <c r="J198">
        <f t="shared" si="18"/>
        <v>49</v>
      </c>
      <c r="K198">
        <f t="shared" si="19"/>
        <v>4</v>
      </c>
    </row>
    <row r="199" spans="1:11" x14ac:dyDescent="0.3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15"/>
        <v>89</v>
      </c>
      <c r="H199">
        <f t="shared" si="16"/>
        <v>24</v>
      </c>
      <c r="I199">
        <f t="shared" si="17"/>
        <v>0</v>
      </c>
      <c r="J199">
        <f t="shared" si="18"/>
        <v>49</v>
      </c>
      <c r="K199">
        <f t="shared" si="19"/>
        <v>0</v>
      </c>
    </row>
    <row r="200" spans="1:11" x14ac:dyDescent="0.3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15"/>
        <v>89</v>
      </c>
      <c r="H200">
        <f t="shared" si="16"/>
        <v>24</v>
      </c>
      <c r="I200">
        <f t="shared" si="17"/>
        <v>35</v>
      </c>
      <c r="J200">
        <f t="shared" si="18"/>
        <v>49</v>
      </c>
      <c r="K200">
        <f t="shared" si="19"/>
        <v>0</v>
      </c>
    </row>
    <row r="201" spans="1:11" x14ac:dyDescent="0.3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15"/>
        <v>130</v>
      </c>
      <c r="H201">
        <f t="shared" si="16"/>
        <v>24</v>
      </c>
      <c r="I201">
        <f t="shared" si="17"/>
        <v>35</v>
      </c>
      <c r="J201">
        <f t="shared" si="18"/>
        <v>49</v>
      </c>
      <c r="K201">
        <f t="shared" si="19"/>
        <v>0</v>
      </c>
    </row>
    <row r="202" spans="1:11" x14ac:dyDescent="0.3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15"/>
        <v>130</v>
      </c>
      <c r="H202">
        <f t="shared" si="16"/>
        <v>24</v>
      </c>
      <c r="I202">
        <f t="shared" si="17"/>
        <v>35</v>
      </c>
      <c r="J202">
        <f t="shared" si="18"/>
        <v>72</v>
      </c>
      <c r="K202">
        <f t="shared" si="19"/>
        <v>0</v>
      </c>
    </row>
    <row r="203" spans="1:11" x14ac:dyDescent="0.3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15"/>
        <v>130</v>
      </c>
      <c r="H203">
        <f t="shared" si="16"/>
        <v>70</v>
      </c>
      <c r="I203">
        <f t="shared" si="17"/>
        <v>35</v>
      </c>
      <c r="J203">
        <f t="shared" si="18"/>
        <v>72</v>
      </c>
      <c r="K203">
        <f t="shared" si="19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409E-E90A-4046-84E4-AD86820EB541}">
  <dimension ref="A1:K203"/>
  <sheetViews>
    <sheetView workbookViewId="0">
      <selection activeCell="P25" sqref="P25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5.88671875" bestFit="1" customWidth="1"/>
    <col min="4" max="4" width="4.44140625" bestFit="1" customWidth="1"/>
    <col min="5" max="5" width="6.109375" bestFit="1" customWidth="1"/>
    <col min="6" max="6" width="20.5546875" bestFit="1" customWidth="1"/>
    <col min="8" max="8" width="16.6640625" bestFit="1" customWidth="1"/>
    <col min="9" max="9" width="17" bestFit="1" customWidth="1"/>
    <col min="10" max="10" width="4" bestFit="1" customWidth="1"/>
    <col min="11" max="12" width="14" bestFit="1" customWidth="1"/>
    <col min="13" max="13" width="3" bestFit="1" customWidth="1"/>
    <col min="14" max="14" width="7" bestFit="1" customWidth="1"/>
    <col min="15" max="15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2</v>
      </c>
      <c r="I1" t="s">
        <v>9</v>
      </c>
    </row>
    <row r="2" spans="1:11" x14ac:dyDescent="0.3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11" x14ac:dyDescent="0.3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H3" s="2" t="s">
        <v>26</v>
      </c>
      <c r="I3" s="2" t="s">
        <v>23</v>
      </c>
    </row>
    <row r="4" spans="1:11" x14ac:dyDescent="0.3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H4" s="2" t="s">
        <v>25</v>
      </c>
      <c r="I4" t="s">
        <v>14</v>
      </c>
      <c r="J4" t="s">
        <v>8</v>
      </c>
      <c r="K4" t="s">
        <v>24</v>
      </c>
    </row>
    <row r="5" spans="1:11" x14ac:dyDescent="0.3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H5" s="3" t="s">
        <v>42</v>
      </c>
      <c r="I5">
        <v>277</v>
      </c>
      <c r="J5">
        <v>351</v>
      </c>
      <c r="K5">
        <v>628</v>
      </c>
    </row>
    <row r="6" spans="1:11" x14ac:dyDescent="0.3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H6" s="4" t="s">
        <v>43</v>
      </c>
      <c r="I6">
        <v>32</v>
      </c>
      <c r="J6">
        <v>76</v>
      </c>
      <c r="K6">
        <v>108</v>
      </c>
    </row>
    <row r="7" spans="1:11" x14ac:dyDescent="0.3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H7" s="4" t="s">
        <v>44</v>
      </c>
      <c r="J7">
        <v>8</v>
      </c>
      <c r="K7">
        <v>8</v>
      </c>
    </row>
    <row r="8" spans="1:11" x14ac:dyDescent="0.3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H8" s="4" t="s">
        <v>45</v>
      </c>
      <c r="I8">
        <v>50</v>
      </c>
      <c r="K8">
        <v>50</v>
      </c>
    </row>
    <row r="9" spans="1:11" x14ac:dyDescent="0.3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H9" s="4" t="s">
        <v>46</v>
      </c>
      <c r="J9">
        <v>68</v>
      </c>
      <c r="K9">
        <v>68</v>
      </c>
    </row>
    <row r="10" spans="1:11" x14ac:dyDescent="0.3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H10" s="4" t="s">
        <v>47</v>
      </c>
      <c r="J10">
        <v>42</v>
      </c>
      <c r="K10">
        <v>42</v>
      </c>
    </row>
    <row r="11" spans="1:11" x14ac:dyDescent="0.3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H11" s="4" t="s">
        <v>48</v>
      </c>
      <c r="J11">
        <v>83</v>
      </c>
      <c r="K11">
        <v>83</v>
      </c>
    </row>
    <row r="12" spans="1:11" x14ac:dyDescent="0.3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H12" s="4" t="s">
        <v>49</v>
      </c>
      <c r="I12">
        <v>191</v>
      </c>
      <c r="K12">
        <v>191</v>
      </c>
    </row>
    <row r="13" spans="1:11" x14ac:dyDescent="0.3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H13" s="4" t="s">
        <v>50</v>
      </c>
      <c r="I13">
        <v>4</v>
      </c>
      <c r="J13">
        <v>44</v>
      </c>
      <c r="K13">
        <v>48</v>
      </c>
    </row>
    <row r="14" spans="1:11" x14ac:dyDescent="0.3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H14" s="4" t="s">
        <v>51</v>
      </c>
      <c r="J14">
        <v>30</v>
      </c>
      <c r="K14">
        <v>30</v>
      </c>
    </row>
    <row r="15" spans="1:11" x14ac:dyDescent="0.3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H15" s="3" t="s">
        <v>52</v>
      </c>
      <c r="I15">
        <v>236</v>
      </c>
      <c r="J15">
        <v>174</v>
      </c>
      <c r="K15">
        <v>410</v>
      </c>
    </row>
    <row r="16" spans="1:11" x14ac:dyDescent="0.3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H16" s="4" t="s">
        <v>43</v>
      </c>
      <c r="I16">
        <v>112</v>
      </c>
      <c r="J16">
        <v>39</v>
      </c>
      <c r="K16">
        <v>151</v>
      </c>
    </row>
    <row r="17" spans="1:11" x14ac:dyDescent="0.3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H17" s="4" t="s">
        <v>44</v>
      </c>
      <c r="I17">
        <v>1</v>
      </c>
      <c r="K17">
        <v>1</v>
      </c>
    </row>
    <row r="18" spans="1:11" x14ac:dyDescent="0.3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H18" s="4" t="s">
        <v>45</v>
      </c>
      <c r="J18">
        <v>35</v>
      </c>
      <c r="K18">
        <v>35</v>
      </c>
    </row>
    <row r="19" spans="1:11" x14ac:dyDescent="0.3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H19" s="4" t="s">
        <v>46</v>
      </c>
      <c r="J19">
        <v>1</v>
      </c>
      <c r="K19">
        <v>1</v>
      </c>
    </row>
    <row r="20" spans="1:11" x14ac:dyDescent="0.3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H20" s="4" t="s">
        <v>53</v>
      </c>
      <c r="I20">
        <v>68</v>
      </c>
      <c r="J20">
        <v>33</v>
      </c>
      <c r="K20">
        <v>101</v>
      </c>
    </row>
    <row r="21" spans="1:11" x14ac:dyDescent="0.3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H21" s="4" t="s">
        <v>47</v>
      </c>
      <c r="J21">
        <v>8</v>
      </c>
      <c r="K21">
        <v>8</v>
      </c>
    </row>
    <row r="22" spans="1:11" x14ac:dyDescent="0.3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H22" s="4" t="s">
        <v>48</v>
      </c>
      <c r="J22">
        <v>42</v>
      </c>
      <c r="K22">
        <v>42</v>
      </c>
    </row>
    <row r="23" spans="1:11" x14ac:dyDescent="0.3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H23" s="4" t="s">
        <v>49</v>
      </c>
      <c r="I23">
        <v>48</v>
      </c>
      <c r="J23">
        <v>4</v>
      </c>
      <c r="K23">
        <v>52</v>
      </c>
    </row>
    <row r="24" spans="1:11" x14ac:dyDescent="0.3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H24" s="4" t="s">
        <v>54</v>
      </c>
      <c r="I24">
        <v>6</v>
      </c>
      <c r="K24">
        <v>6</v>
      </c>
    </row>
    <row r="25" spans="1:11" x14ac:dyDescent="0.3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H25" s="4" t="s">
        <v>51</v>
      </c>
      <c r="I25">
        <v>1</v>
      </c>
      <c r="J25">
        <v>12</v>
      </c>
      <c r="K25">
        <v>13</v>
      </c>
    </row>
    <row r="26" spans="1:11" x14ac:dyDescent="0.3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H26" s="3" t="s">
        <v>55</v>
      </c>
      <c r="I26">
        <v>271</v>
      </c>
      <c r="J26">
        <v>259</v>
      </c>
      <c r="K26">
        <v>530</v>
      </c>
    </row>
    <row r="27" spans="1:11" x14ac:dyDescent="0.3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H27" s="4" t="s">
        <v>43</v>
      </c>
      <c r="I27">
        <v>22</v>
      </c>
      <c r="J27">
        <v>10</v>
      </c>
      <c r="K27">
        <v>32</v>
      </c>
    </row>
    <row r="28" spans="1:11" x14ac:dyDescent="0.3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H28" s="4" t="s">
        <v>44</v>
      </c>
      <c r="J28">
        <v>34</v>
      </c>
      <c r="K28">
        <v>34</v>
      </c>
    </row>
    <row r="29" spans="1:11" x14ac:dyDescent="0.3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H29" s="4" t="s">
        <v>45</v>
      </c>
      <c r="I29">
        <v>34</v>
      </c>
      <c r="K29">
        <v>34</v>
      </c>
    </row>
    <row r="30" spans="1:11" x14ac:dyDescent="0.3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H30" s="4" t="s">
        <v>46</v>
      </c>
      <c r="J30">
        <v>5</v>
      </c>
      <c r="K30">
        <v>5</v>
      </c>
    </row>
    <row r="31" spans="1:11" x14ac:dyDescent="0.3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H31" s="4" t="s">
        <v>47</v>
      </c>
      <c r="J31">
        <v>95</v>
      </c>
      <c r="K31">
        <v>95</v>
      </c>
    </row>
    <row r="32" spans="1:11" x14ac:dyDescent="0.3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H32" s="4" t="s">
        <v>48</v>
      </c>
      <c r="J32">
        <v>25</v>
      </c>
      <c r="K32">
        <v>25</v>
      </c>
    </row>
    <row r="33" spans="1:11" x14ac:dyDescent="0.3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H33" s="4" t="s">
        <v>49</v>
      </c>
      <c r="I33">
        <v>121</v>
      </c>
      <c r="J33">
        <v>22</v>
      </c>
      <c r="K33">
        <v>143</v>
      </c>
    </row>
    <row r="34" spans="1:11" x14ac:dyDescent="0.3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H34" s="4" t="s">
        <v>50</v>
      </c>
      <c r="I34">
        <v>26</v>
      </c>
      <c r="K34">
        <v>26</v>
      </c>
    </row>
    <row r="35" spans="1:11" x14ac:dyDescent="0.3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H35" s="4" t="s">
        <v>54</v>
      </c>
      <c r="J35">
        <v>20</v>
      </c>
      <c r="K35">
        <v>20</v>
      </c>
    </row>
    <row r="36" spans="1:11" x14ac:dyDescent="0.3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H36" s="4" t="s">
        <v>51</v>
      </c>
      <c r="I36">
        <v>64</v>
      </c>
      <c r="J36">
        <v>48</v>
      </c>
      <c r="K36">
        <v>112</v>
      </c>
    </row>
    <row r="37" spans="1:11" x14ac:dyDescent="0.3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H37" s="4" t="s">
        <v>56</v>
      </c>
      <c r="I37">
        <v>4</v>
      </c>
      <c r="K37">
        <v>4</v>
      </c>
    </row>
    <row r="38" spans="1:11" x14ac:dyDescent="0.3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H38" s="3" t="s">
        <v>24</v>
      </c>
      <c r="I38">
        <v>784</v>
      </c>
      <c r="J38">
        <v>784</v>
      </c>
      <c r="K38">
        <v>1568</v>
      </c>
    </row>
    <row r="39" spans="1:11" x14ac:dyDescent="0.3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11" x14ac:dyDescent="0.3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11" x14ac:dyDescent="0.3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11" x14ac:dyDescent="0.3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11" x14ac:dyDescent="0.3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11" x14ac:dyDescent="0.3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11" x14ac:dyDescent="0.3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11" x14ac:dyDescent="0.3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11" x14ac:dyDescent="0.3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11" x14ac:dyDescent="0.3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3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3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3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3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3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3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3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3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3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3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3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3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3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3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3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3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3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3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3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3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3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3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3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3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3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3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3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3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3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3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3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3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3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3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3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3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3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3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3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3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3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3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3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3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3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3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3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3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3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3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3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3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3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3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3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3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3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3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3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3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3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3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3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3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3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3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3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3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3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3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3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3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3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3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3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3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3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3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3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3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3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3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3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3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3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3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3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3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3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3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3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3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3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3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3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3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3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3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3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3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3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3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3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3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3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3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3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3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3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3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3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3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3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3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3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3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3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3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3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3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3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3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3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3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3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3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3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3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3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3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3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3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3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3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3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3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3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3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3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3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3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3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3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3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3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3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3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3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3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3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3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3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3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3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3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BF48-928B-492E-B850-3E27C039E09E}">
  <dimension ref="A1:P203"/>
  <sheetViews>
    <sheetView tabSelected="1" workbookViewId="0">
      <selection activeCell="P11" sqref="P11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5.88671875" bestFit="1" customWidth="1"/>
    <col min="4" max="4" width="4.44140625" bestFit="1" customWidth="1"/>
    <col min="5" max="5" width="6.109375" bestFit="1" customWidth="1"/>
    <col min="6" max="6" width="20.5546875" bestFit="1" customWidth="1"/>
    <col min="8" max="8" width="17" bestFit="1" customWidth="1"/>
    <col min="9" max="9" width="17.88671875" bestFit="1" customWidth="1"/>
    <col min="10" max="10" width="17" bestFit="1" customWidth="1"/>
    <col min="11" max="11" width="14" bestFit="1" customWidth="1"/>
    <col min="13" max="13" width="5.109375" bestFit="1" customWidth="1"/>
    <col min="14" max="14" width="2.5546875" bestFit="1" customWidth="1"/>
    <col min="15" max="16" width="13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57</v>
      </c>
      <c r="H1" t="s">
        <v>58</v>
      </c>
      <c r="I1" t="s">
        <v>61</v>
      </c>
      <c r="J1" t="s">
        <v>64</v>
      </c>
    </row>
    <row r="2" spans="1:16" x14ac:dyDescent="0.3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f>E2*F2</f>
        <v>240</v>
      </c>
      <c r="H2">
        <f>K9-G2</f>
        <v>499760</v>
      </c>
      <c r="I2">
        <v>0</v>
      </c>
      <c r="J2">
        <f>IF(H2&lt;0,1,0)</f>
        <v>0</v>
      </c>
    </row>
    <row r="3" spans="1:16" x14ac:dyDescent="0.3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 t="shared" ref="G3:G66" si="0">E3*F3</f>
        <v>1600</v>
      </c>
      <c r="H3">
        <f>IF(D3="Z",H2-G3,H2+G3)</f>
        <v>498160</v>
      </c>
      <c r="I3">
        <f>IF(A2&lt;&gt;A3,H2,0)</f>
        <v>0</v>
      </c>
      <c r="J3">
        <f t="shared" ref="J3:J66" si="1">IF(H3&lt;0,1,0)</f>
        <v>0</v>
      </c>
    </row>
    <row r="4" spans="1:16" x14ac:dyDescent="0.3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si="0"/>
        <v>380</v>
      </c>
      <c r="H4">
        <f t="shared" ref="H4:H67" si="2">IF(D4="Z",H3-G4,H3+G4)</f>
        <v>497780</v>
      </c>
      <c r="I4">
        <f t="shared" ref="I4:I67" si="3">IF(A3&lt;&gt;A4,H3,0)</f>
        <v>0</v>
      </c>
      <c r="J4">
        <f t="shared" si="1"/>
        <v>0</v>
      </c>
    </row>
    <row r="5" spans="1:16" x14ac:dyDescent="0.3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990</v>
      </c>
      <c r="H5">
        <f t="shared" si="2"/>
        <v>496790</v>
      </c>
      <c r="I5">
        <f t="shared" si="3"/>
        <v>0</v>
      </c>
      <c r="J5">
        <f t="shared" si="1"/>
        <v>0</v>
      </c>
    </row>
    <row r="6" spans="1:16" x14ac:dyDescent="0.3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1075</v>
      </c>
      <c r="H6">
        <f t="shared" si="2"/>
        <v>495715</v>
      </c>
      <c r="I6">
        <f t="shared" si="3"/>
        <v>0</v>
      </c>
      <c r="J6">
        <f t="shared" si="1"/>
        <v>0</v>
      </c>
    </row>
    <row r="7" spans="1:16" x14ac:dyDescent="0.3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1856</v>
      </c>
      <c r="H7">
        <f t="shared" si="2"/>
        <v>497571</v>
      </c>
      <c r="I7">
        <f t="shared" si="3"/>
        <v>495715</v>
      </c>
      <c r="J7">
        <f t="shared" si="1"/>
        <v>0</v>
      </c>
    </row>
    <row r="8" spans="1:16" x14ac:dyDescent="0.3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364</v>
      </c>
      <c r="H8">
        <f t="shared" si="2"/>
        <v>497207</v>
      </c>
      <c r="I8">
        <f t="shared" si="3"/>
        <v>0</v>
      </c>
      <c r="J8">
        <f t="shared" si="1"/>
        <v>0</v>
      </c>
      <c r="K8" t="s">
        <v>63</v>
      </c>
    </row>
    <row r="9" spans="1:16" x14ac:dyDescent="0.3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2024</v>
      </c>
      <c r="H9">
        <f t="shared" si="2"/>
        <v>495183</v>
      </c>
      <c r="I9">
        <f t="shared" si="3"/>
        <v>497207</v>
      </c>
      <c r="J9">
        <f t="shared" si="1"/>
        <v>0</v>
      </c>
      <c r="K9">
        <v>500000</v>
      </c>
      <c r="M9" t="s">
        <v>28</v>
      </c>
      <c r="N9" t="s">
        <v>59</v>
      </c>
      <c r="O9" t="s">
        <v>60</v>
      </c>
    </row>
    <row r="10" spans="1:16" x14ac:dyDescent="0.3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28</v>
      </c>
      <c r="H10">
        <f t="shared" si="2"/>
        <v>495155</v>
      </c>
      <c r="I10">
        <f t="shared" si="3"/>
        <v>0</v>
      </c>
      <c r="J10">
        <f t="shared" si="1"/>
        <v>0</v>
      </c>
      <c r="O10" s="1">
        <v>43381</v>
      </c>
      <c r="P10" t="s">
        <v>66</v>
      </c>
    </row>
    <row r="11" spans="1:16" x14ac:dyDescent="0.3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1554</v>
      </c>
      <c r="H11">
        <f t="shared" si="2"/>
        <v>493601</v>
      </c>
      <c r="I11">
        <f t="shared" si="3"/>
        <v>0</v>
      </c>
      <c r="J11">
        <f t="shared" si="1"/>
        <v>0</v>
      </c>
      <c r="N11" t="s">
        <v>62</v>
      </c>
      <c r="O11" t="s">
        <v>65</v>
      </c>
    </row>
    <row r="12" spans="1:16" x14ac:dyDescent="0.3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1376</v>
      </c>
      <c r="H12">
        <f t="shared" si="2"/>
        <v>494977</v>
      </c>
      <c r="I12">
        <f t="shared" si="3"/>
        <v>493601</v>
      </c>
      <c r="J12">
        <f t="shared" si="1"/>
        <v>0</v>
      </c>
    </row>
    <row r="13" spans="1:16" x14ac:dyDescent="0.3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494</v>
      </c>
      <c r="H13">
        <f t="shared" si="2"/>
        <v>495471</v>
      </c>
      <c r="I13">
        <f t="shared" si="3"/>
        <v>0</v>
      </c>
      <c r="J13">
        <f t="shared" si="1"/>
        <v>0</v>
      </c>
    </row>
    <row r="14" spans="1:16" x14ac:dyDescent="0.3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531</v>
      </c>
      <c r="H14">
        <f t="shared" si="2"/>
        <v>494940</v>
      </c>
      <c r="I14">
        <f t="shared" si="3"/>
        <v>0</v>
      </c>
      <c r="J14">
        <f t="shared" si="1"/>
        <v>0</v>
      </c>
    </row>
    <row r="15" spans="1:16" x14ac:dyDescent="0.3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296</v>
      </c>
      <c r="H15">
        <f t="shared" si="2"/>
        <v>494644</v>
      </c>
      <c r="I15">
        <f t="shared" si="3"/>
        <v>0</v>
      </c>
      <c r="J15">
        <f t="shared" si="1"/>
        <v>0</v>
      </c>
    </row>
    <row r="16" spans="1:16" x14ac:dyDescent="0.3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3050</v>
      </c>
      <c r="H16">
        <f t="shared" si="2"/>
        <v>497694</v>
      </c>
      <c r="I16">
        <f t="shared" si="3"/>
        <v>494644</v>
      </c>
      <c r="J16">
        <f t="shared" si="1"/>
        <v>0</v>
      </c>
    </row>
    <row r="17" spans="1:10" x14ac:dyDescent="0.3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640</v>
      </c>
      <c r="H17">
        <f t="shared" si="2"/>
        <v>497054</v>
      </c>
      <c r="I17">
        <f t="shared" si="3"/>
        <v>0</v>
      </c>
      <c r="J17">
        <f t="shared" si="1"/>
        <v>0</v>
      </c>
    </row>
    <row r="18" spans="1:10" x14ac:dyDescent="0.3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56</v>
      </c>
      <c r="H18">
        <f t="shared" si="2"/>
        <v>496998</v>
      </c>
      <c r="I18">
        <f t="shared" si="3"/>
        <v>0</v>
      </c>
      <c r="J18">
        <f t="shared" si="1"/>
        <v>0</v>
      </c>
    </row>
    <row r="19" spans="1:10" x14ac:dyDescent="0.3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240</v>
      </c>
      <c r="H19">
        <f t="shared" si="2"/>
        <v>496758</v>
      </c>
      <c r="I19">
        <f t="shared" si="3"/>
        <v>0</v>
      </c>
      <c r="J19">
        <f t="shared" si="1"/>
        <v>0</v>
      </c>
    </row>
    <row r="20" spans="1:10" x14ac:dyDescent="0.3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84</v>
      </c>
      <c r="H20">
        <f t="shared" si="2"/>
        <v>496842</v>
      </c>
      <c r="I20">
        <f t="shared" si="3"/>
        <v>496758</v>
      </c>
      <c r="J20">
        <f t="shared" si="1"/>
        <v>0</v>
      </c>
    </row>
    <row r="21" spans="1:10" x14ac:dyDescent="0.3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475</v>
      </c>
      <c r="H21">
        <f t="shared" si="2"/>
        <v>496367</v>
      </c>
      <c r="I21">
        <f t="shared" si="3"/>
        <v>0</v>
      </c>
      <c r="J21">
        <f t="shared" si="1"/>
        <v>0</v>
      </c>
    </row>
    <row r="22" spans="1:10" x14ac:dyDescent="0.3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1254</v>
      </c>
      <c r="H22">
        <f t="shared" si="2"/>
        <v>495113</v>
      </c>
      <c r="I22">
        <f t="shared" si="3"/>
        <v>0</v>
      </c>
      <c r="J22">
        <f t="shared" si="1"/>
        <v>0</v>
      </c>
    </row>
    <row r="23" spans="1:10" x14ac:dyDescent="0.3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1260</v>
      </c>
      <c r="H23">
        <f t="shared" si="2"/>
        <v>496373</v>
      </c>
      <c r="I23">
        <f t="shared" si="3"/>
        <v>495113</v>
      </c>
      <c r="J23">
        <f t="shared" si="1"/>
        <v>0</v>
      </c>
    </row>
    <row r="24" spans="1:10" x14ac:dyDescent="0.3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330</v>
      </c>
      <c r="H24">
        <f t="shared" si="2"/>
        <v>496043</v>
      </c>
      <c r="I24">
        <f t="shared" si="3"/>
        <v>0</v>
      </c>
      <c r="J24">
        <f t="shared" si="1"/>
        <v>0</v>
      </c>
    </row>
    <row r="25" spans="1:10" x14ac:dyDescent="0.3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1435</v>
      </c>
      <c r="H25">
        <f t="shared" si="2"/>
        <v>494608</v>
      </c>
      <c r="I25">
        <f t="shared" si="3"/>
        <v>0</v>
      </c>
      <c r="J25">
        <f t="shared" si="1"/>
        <v>0</v>
      </c>
    </row>
    <row r="26" spans="1:10" x14ac:dyDescent="0.3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3724</v>
      </c>
      <c r="H26">
        <f t="shared" si="2"/>
        <v>498332</v>
      </c>
      <c r="I26">
        <f t="shared" si="3"/>
        <v>494608</v>
      </c>
      <c r="J26">
        <f t="shared" si="1"/>
        <v>0</v>
      </c>
    </row>
    <row r="27" spans="1:10" x14ac:dyDescent="0.3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230</v>
      </c>
      <c r="H27">
        <f t="shared" si="2"/>
        <v>498102</v>
      </c>
      <c r="I27">
        <f t="shared" si="3"/>
        <v>0</v>
      </c>
      <c r="J27">
        <f t="shared" si="1"/>
        <v>0</v>
      </c>
    </row>
    <row r="28" spans="1:10" x14ac:dyDescent="0.3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152</v>
      </c>
      <c r="H28">
        <f t="shared" si="2"/>
        <v>498254</v>
      </c>
      <c r="I28">
        <f t="shared" si="3"/>
        <v>498102</v>
      </c>
      <c r="J28">
        <f t="shared" si="1"/>
        <v>0</v>
      </c>
    </row>
    <row r="29" spans="1:10" x14ac:dyDescent="0.3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2520</v>
      </c>
      <c r="H29">
        <f t="shared" si="2"/>
        <v>495734</v>
      </c>
      <c r="I29">
        <f t="shared" si="3"/>
        <v>0</v>
      </c>
      <c r="J29">
        <f t="shared" si="1"/>
        <v>0</v>
      </c>
    </row>
    <row r="30" spans="1:10" x14ac:dyDescent="0.3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224</v>
      </c>
      <c r="H30">
        <f t="shared" si="2"/>
        <v>495510</v>
      </c>
      <c r="I30">
        <f t="shared" si="3"/>
        <v>0</v>
      </c>
      <c r="J30">
        <f t="shared" si="1"/>
        <v>0</v>
      </c>
    </row>
    <row r="31" spans="1:10" x14ac:dyDescent="0.3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361</v>
      </c>
      <c r="H31">
        <f t="shared" si="2"/>
        <v>495149</v>
      </c>
      <c r="I31">
        <f t="shared" si="3"/>
        <v>0</v>
      </c>
      <c r="J31">
        <f t="shared" si="1"/>
        <v>0</v>
      </c>
    </row>
    <row r="32" spans="1:10" x14ac:dyDescent="0.3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2016</v>
      </c>
      <c r="H32">
        <f t="shared" si="2"/>
        <v>497165</v>
      </c>
      <c r="I32">
        <f t="shared" si="3"/>
        <v>495149</v>
      </c>
      <c r="J32">
        <f t="shared" si="1"/>
        <v>0</v>
      </c>
    </row>
    <row r="33" spans="1:10" x14ac:dyDescent="0.3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3780</v>
      </c>
      <c r="H33">
        <f t="shared" si="2"/>
        <v>500945</v>
      </c>
      <c r="I33">
        <f t="shared" si="3"/>
        <v>0</v>
      </c>
      <c r="J33">
        <f t="shared" si="1"/>
        <v>0</v>
      </c>
    </row>
    <row r="34" spans="1:10" x14ac:dyDescent="0.3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1848</v>
      </c>
      <c r="H34">
        <f t="shared" si="2"/>
        <v>499097</v>
      </c>
      <c r="I34">
        <f t="shared" si="3"/>
        <v>0</v>
      </c>
      <c r="J34">
        <f t="shared" si="1"/>
        <v>0</v>
      </c>
    </row>
    <row r="35" spans="1:10" x14ac:dyDescent="0.3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858</v>
      </c>
      <c r="H35">
        <f t="shared" si="2"/>
        <v>498239</v>
      </c>
      <c r="I35">
        <f t="shared" si="3"/>
        <v>0</v>
      </c>
      <c r="J35">
        <f t="shared" si="1"/>
        <v>0</v>
      </c>
    </row>
    <row r="36" spans="1:10" x14ac:dyDescent="0.3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81</v>
      </c>
      <c r="H36">
        <f t="shared" si="2"/>
        <v>498158</v>
      </c>
      <c r="I36">
        <f t="shared" si="3"/>
        <v>0</v>
      </c>
      <c r="J36">
        <f t="shared" si="1"/>
        <v>0</v>
      </c>
    </row>
    <row r="37" spans="1:10" x14ac:dyDescent="0.3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116</v>
      </c>
      <c r="H37">
        <f t="shared" si="2"/>
        <v>498274</v>
      </c>
      <c r="I37">
        <f t="shared" si="3"/>
        <v>498158</v>
      </c>
      <c r="J37">
        <f t="shared" si="1"/>
        <v>0</v>
      </c>
    </row>
    <row r="38" spans="1:10" x14ac:dyDescent="0.3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444</v>
      </c>
      <c r="H38">
        <f t="shared" si="2"/>
        <v>498718</v>
      </c>
      <c r="I38">
        <f t="shared" si="3"/>
        <v>0</v>
      </c>
      <c r="J38">
        <f t="shared" si="1"/>
        <v>0</v>
      </c>
    </row>
    <row r="39" spans="1:10" x14ac:dyDescent="0.3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1470</v>
      </c>
      <c r="H39">
        <f t="shared" si="2"/>
        <v>497248</v>
      </c>
      <c r="I39">
        <f t="shared" si="3"/>
        <v>0</v>
      </c>
      <c r="J39">
        <f t="shared" si="1"/>
        <v>0</v>
      </c>
    </row>
    <row r="40" spans="1:10" x14ac:dyDescent="0.3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2112</v>
      </c>
      <c r="H40">
        <f t="shared" si="2"/>
        <v>495136</v>
      </c>
      <c r="I40">
        <f t="shared" si="3"/>
        <v>0</v>
      </c>
      <c r="J40">
        <f t="shared" si="1"/>
        <v>0</v>
      </c>
    </row>
    <row r="41" spans="1:10" x14ac:dyDescent="0.3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2944</v>
      </c>
      <c r="H41">
        <f t="shared" si="2"/>
        <v>498080</v>
      </c>
      <c r="I41">
        <f t="shared" si="3"/>
        <v>495136</v>
      </c>
      <c r="J41">
        <f t="shared" si="1"/>
        <v>0</v>
      </c>
    </row>
    <row r="42" spans="1:10" x14ac:dyDescent="0.3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2064</v>
      </c>
      <c r="H42">
        <f t="shared" si="2"/>
        <v>496016</v>
      </c>
      <c r="I42">
        <f t="shared" si="3"/>
        <v>0</v>
      </c>
      <c r="J42">
        <f t="shared" si="1"/>
        <v>0</v>
      </c>
    </row>
    <row r="43" spans="1:10" x14ac:dyDescent="0.3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11460</v>
      </c>
      <c r="H43">
        <f t="shared" si="2"/>
        <v>507476</v>
      </c>
      <c r="I43">
        <f t="shared" si="3"/>
        <v>496016</v>
      </c>
      <c r="J43">
        <f t="shared" si="1"/>
        <v>0</v>
      </c>
    </row>
    <row r="44" spans="1:10" x14ac:dyDescent="0.3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216</v>
      </c>
      <c r="H44">
        <f t="shared" si="2"/>
        <v>507260</v>
      </c>
      <c r="I44">
        <f t="shared" si="3"/>
        <v>0</v>
      </c>
      <c r="J44">
        <f t="shared" si="1"/>
        <v>0</v>
      </c>
    </row>
    <row r="45" spans="1:10" x14ac:dyDescent="0.3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2340</v>
      </c>
      <c r="H45">
        <f t="shared" si="2"/>
        <v>504920</v>
      </c>
      <c r="I45">
        <f t="shared" si="3"/>
        <v>0</v>
      </c>
      <c r="J45">
        <f t="shared" si="1"/>
        <v>0</v>
      </c>
    </row>
    <row r="46" spans="1:10" x14ac:dyDescent="0.3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329</v>
      </c>
      <c r="H46">
        <f t="shared" si="2"/>
        <v>504591</v>
      </c>
      <c r="I46">
        <f t="shared" si="3"/>
        <v>504920</v>
      </c>
      <c r="J46">
        <f t="shared" si="1"/>
        <v>0</v>
      </c>
    </row>
    <row r="47" spans="1:10" x14ac:dyDescent="0.3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252</v>
      </c>
      <c r="H47">
        <f t="shared" si="2"/>
        <v>504843</v>
      </c>
      <c r="I47">
        <f t="shared" si="3"/>
        <v>0</v>
      </c>
      <c r="J47">
        <f t="shared" si="1"/>
        <v>0</v>
      </c>
    </row>
    <row r="48" spans="1:10" x14ac:dyDescent="0.3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152</v>
      </c>
      <c r="H48">
        <f t="shared" si="2"/>
        <v>504691</v>
      </c>
      <c r="I48">
        <f t="shared" si="3"/>
        <v>0</v>
      </c>
      <c r="J48">
        <f t="shared" si="1"/>
        <v>0</v>
      </c>
    </row>
    <row r="49" spans="1:10" x14ac:dyDescent="0.3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66</v>
      </c>
      <c r="H49">
        <f t="shared" si="2"/>
        <v>504625</v>
      </c>
      <c r="I49">
        <f t="shared" si="3"/>
        <v>0</v>
      </c>
      <c r="J49">
        <f t="shared" si="1"/>
        <v>0</v>
      </c>
    </row>
    <row r="50" spans="1:10" x14ac:dyDescent="0.3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2419</v>
      </c>
      <c r="H50">
        <f t="shared" si="2"/>
        <v>502206</v>
      </c>
      <c r="I50">
        <f t="shared" si="3"/>
        <v>0</v>
      </c>
      <c r="J50">
        <f t="shared" si="1"/>
        <v>0</v>
      </c>
    </row>
    <row r="51" spans="1:10" x14ac:dyDescent="0.3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1760</v>
      </c>
      <c r="H51">
        <f t="shared" si="2"/>
        <v>500446</v>
      </c>
      <c r="I51">
        <f t="shared" si="3"/>
        <v>502206</v>
      </c>
      <c r="J51">
        <f t="shared" si="1"/>
        <v>0</v>
      </c>
    </row>
    <row r="52" spans="1:10" x14ac:dyDescent="0.3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540</v>
      </c>
      <c r="H52">
        <f t="shared" si="2"/>
        <v>500986</v>
      </c>
      <c r="I52">
        <f t="shared" si="3"/>
        <v>0</v>
      </c>
      <c r="J52">
        <f t="shared" si="1"/>
        <v>0</v>
      </c>
    </row>
    <row r="53" spans="1:10" x14ac:dyDescent="0.3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800</v>
      </c>
      <c r="H53">
        <f t="shared" si="2"/>
        <v>500186</v>
      </c>
      <c r="I53">
        <f t="shared" si="3"/>
        <v>0</v>
      </c>
      <c r="J53">
        <f t="shared" si="1"/>
        <v>0</v>
      </c>
    </row>
    <row r="54" spans="1:10" x14ac:dyDescent="0.3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189</v>
      </c>
      <c r="H54">
        <f t="shared" si="2"/>
        <v>499997</v>
      </c>
      <c r="I54">
        <f t="shared" si="3"/>
        <v>0</v>
      </c>
      <c r="J54">
        <f t="shared" si="1"/>
        <v>0</v>
      </c>
    </row>
    <row r="55" spans="1:10" x14ac:dyDescent="0.3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408</v>
      </c>
      <c r="H55">
        <f t="shared" si="2"/>
        <v>499589</v>
      </c>
      <c r="I55">
        <f t="shared" si="3"/>
        <v>0</v>
      </c>
      <c r="J55">
        <f t="shared" si="1"/>
        <v>0</v>
      </c>
    </row>
    <row r="56" spans="1:10" x14ac:dyDescent="0.3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24</v>
      </c>
      <c r="H56">
        <f t="shared" si="2"/>
        <v>499613</v>
      </c>
      <c r="I56">
        <f t="shared" si="3"/>
        <v>499589</v>
      </c>
      <c r="J56">
        <f t="shared" si="1"/>
        <v>0</v>
      </c>
    </row>
    <row r="57" spans="1:10" x14ac:dyDescent="0.3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266</v>
      </c>
      <c r="H57">
        <f t="shared" si="2"/>
        <v>499347</v>
      </c>
      <c r="I57">
        <f t="shared" si="3"/>
        <v>0</v>
      </c>
      <c r="J57">
        <f t="shared" si="1"/>
        <v>0</v>
      </c>
    </row>
    <row r="58" spans="1:10" x14ac:dyDescent="0.3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529</v>
      </c>
      <c r="H58">
        <f t="shared" si="2"/>
        <v>498818</v>
      </c>
      <c r="I58">
        <f t="shared" si="3"/>
        <v>0</v>
      </c>
      <c r="J58">
        <f t="shared" si="1"/>
        <v>0</v>
      </c>
    </row>
    <row r="59" spans="1:10" x14ac:dyDescent="0.3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88</v>
      </c>
      <c r="H59">
        <f t="shared" si="2"/>
        <v>498730</v>
      </c>
      <c r="I59">
        <f t="shared" si="3"/>
        <v>498818</v>
      </c>
      <c r="J59">
        <f t="shared" si="1"/>
        <v>0</v>
      </c>
    </row>
    <row r="60" spans="1:10" x14ac:dyDescent="0.3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1122</v>
      </c>
      <c r="H60">
        <f t="shared" si="2"/>
        <v>497608</v>
      </c>
      <c r="I60">
        <f t="shared" si="3"/>
        <v>0</v>
      </c>
      <c r="J60">
        <f t="shared" si="1"/>
        <v>0</v>
      </c>
    </row>
    <row r="61" spans="1:10" x14ac:dyDescent="0.3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1230</v>
      </c>
      <c r="H61">
        <f t="shared" si="2"/>
        <v>496378</v>
      </c>
      <c r="I61">
        <f t="shared" si="3"/>
        <v>0</v>
      </c>
      <c r="J61">
        <f t="shared" si="1"/>
        <v>0</v>
      </c>
    </row>
    <row r="62" spans="1:10" x14ac:dyDescent="0.3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9506</v>
      </c>
      <c r="H62">
        <f t="shared" si="2"/>
        <v>505884</v>
      </c>
      <c r="I62">
        <f t="shared" si="3"/>
        <v>496378</v>
      </c>
      <c r="J62">
        <f t="shared" si="1"/>
        <v>0</v>
      </c>
    </row>
    <row r="63" spans="1:10" x14ac:dyDescent="0.3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132</v>
      </c>
      <c r="H63">
        <f t="shared" si="2"/>
        <v>506016</v>
      </c>
      <c r="I63">
        <f t="shared" si="3"/>
        <v>0</v>
      </c>
      <c r="J63">
        <f t="shared" si="1"/>
        <v>0</v>
      </c>
    </row>
    <row r="64" spans="1:10" x14ac:dyDescent="0.3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340</v>
      </c>
      <c r="H64">
        <f t="shared" si="2"/>
        <v>505676</v>
      </c>
      <c r="I64">
        <f t="shared" si="3"/>
        <v>0</v>
      </c>
      <c r="J64">
        <f t="shared" si="1"/>
        <v>0</v>
      </c>
    </row>
    <row r="65" spans="1:10" x14ac:dyDescent="0.3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92</v>
      </c>
      <c r="H65">
        <f t="shared" si="2"/>
        <v>505584</v>
      </c>
      <c r="I65">
        <f t="shared" si="3"/>
        <v>0</v>
      </c>
      <c r="J65">
        <f t="shared" si="1"/>
        <v>0</v>
      </c>
    </row>
    <row r="66" spans="1:10" x14ac:dyDescent="0.3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2449</v>
      </c>
      <c r="H66">
        <f t="shared" si="2"/>
        <v>508033</v>
      </c>
      <c r="I66">
        <f t="shared" si="3"/>
        <v>505584</v>
      </c>
      <c r="J66">
        <f t="shared" si="1"/>
        <v>0</v>
      </c>
    </row>
    <row r="67" spans="1:10" x14ac:dyDescent="0.3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ref="G67:G130" si="4">E67*F67</f>
        <v>1980</v>
      </c>
      <c r="H67">
        <f t="shared" si="2"/>
        <v>506053</v>
      </c>
      <c r="I67">
        <f t="shared" si="3"/>
        <v>0</v>
      </c>
      <c r="J67">
        <f t="shared" ref="J67:J130" si="5">IF(H67&lt;0,1,0)</f>
        <v>0</v>
      </c>
    </row>
    <row r="68" spans="1:10" x14ac:dyDescent="0.3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si="4"/>
        <v>598</v>
      </c>
      <c r="H68">
        <f t="shared" ref="H68:H131" si="6">IF(D68="Z",H67-G68,H67+G68)</f>
        <v>505455</v>
      </c>
      <c r="I68">
        <f t="shared" ref="I68:I131" si="7">IF(A67&lt;&gt;A68,H67,0)</f>
        <v>0</v>
      </c>
      <c r="J68">
        <f t="shared" si="5"/>
        <v>0</v>
      </c>
    </row>
    <row r="69" spans="1:10" x14ac:dyDescent="0.3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4"/>
        <v>880</v>
      </c>
      <c r="H69">
        <f t="shared" si="6"/>
        <v>504575</v>
      </c>
      <c r="I69">
        <f t="shared" si="7"/>
        <v>505455</v>
      </c>
      <c r="J69">
        <f t="shared" si="5"/>
        <v>0</v>
      </c>
    </row>
    <row r="70" spans="1:10" x14ac:dyDescent="0.3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4"/>
        <v>378</v>
      </c>
      <c r="H70">
        <f t="shared" si="6"/>
        <v>504197</v>
      </c>
      <c r="I70">
        <f t="shared" si="7"/>
        <v>0</v>
      </c>
      <c r="J70">
        <f t="shared" si="5"/>
        <v>0</v>
      </c>
    </row>
    <row r="71" spans="1:10" x14ac:dyDescent="0.3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4"/>
        <v>1092</v>
      </c>
      <c r="H71">
        <f t="shared" si="6"/>
        <v>503105</v>
      </c>
      <c r="I71">
        <f t="shared" si="7"/>
        <v>0</v>
      </c>
      <c r="J71">
        <f t="shared" si="5"/>
        <v>0</v>
      </c>
    </row>
    <row r="72" spans="1:10" x14ac:dyDescent="0.3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4"/>
        <v>630</v>
      </c>
      <c r="H72">
        <f t="shared" si="6"/>
        <v>502475</v>
      </c>
      <c r="I72">
        <f t="shared" si="7"/>
        <v>0</v>
      </c>
      <c r="J72">
        <f t="shared" si="5"/>
        <v>0</v>
      </c>
    </row>
    <row r="73" spans="1:10" x14ac:dyDescent="0.3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4"/>
        <v>1716</v>
      </c>
      <c r="H73">
        <f t="shared" si="6"/>
        <v>500759</v>
      </c>
      <c r="I73">
        <f t="shared" si="7"/>
        <v>0</v>
      </c>
      <c r="J73">
        <f t="shared" si="5"/>
        <v>0</v>
      </c>
    </row>
    <row r="74" spans="1:10" x14ac:dyDescent="0.3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4"/>
        <v>6608</v>
      </c>
      <c r="H74">
        <f t="shared" si="6"/>
        <v>507367</v>
      </c>
      <c r="I74">
        <f t="shared" si="7"/>
        <v>500759</v>
      </c>
      <c r="J74">
        <f t="shared" si="5"/>
        <v>0</v>
      </c>
    </row>
    <row r="75" spans="1:10" x14ac:dyDescent="0.3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4"/>
        <v>2244</v>
      </c>
      <c r="H75">
        <f t="shared" si="6"/>
        <v>505123</v>
      </c>
      <c r="I75">
        <f t="shared" si="7"/>
        <v>0</v>
      </c>
      <c r="J75">
        <f t="shared" si="5"/>
        <v>0</v>
      </c>
    </row>
    <row r="76" spans="1:10" x14ac:dyDescent="0.3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4"/>
        <v>105</v>
      </c>
      <c r="H76">
        <f t="shared" si="6"/>
        <v>505018</v>
      </c>
      <c r="I76">
        <f t="shared" si="7"/>
        <v>0</v>
      </c>
      <c r="J76">
        <f t="shared" si="5"/>
        <v>0</v>
      </c>
    </row>
    <row r="77" spans="1:10" x14ac:dyDescent="0.3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4"/>
        <v>6808</v>
      </c>
      <c r="H77">
        <f t="shared" si="6"/>
        <v>511826</v>
      </c>
      <c r="I77">
        <f t="shared" si="7"/>
        <v>505018</v>
      </c>
      <c r="J77">
        <f t="shared" si="5"/>
        <v>0</v>
      </c>
    </row>
    <row r="78" spans="1:10" x14ac:dyDescent="0.3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4"/>
        <v>364</v>
      </c>
      <c r="H78">
        <f t="shared" si="6"/>
        <v>511462</v>
      </c>
      <c r="I78">
        <f t="shared" si="7"/>
        <v>0</v>
      </c>
      <c r="J78">
        <f t="shared" si="5"/>
        <v>0</v>
      </c>
    </row>
    <row r="79" spans="1:10" x14ac:dyDescent="0.3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4"/>
        <v>60</v>
      </c>
      <c r="H79">
        <f t="shared" si="6"/>
        <v>511522</v>
      </c>
      <c r="I79">
        <f t="shared" si="7"/>
        <v>511462</v>
      </c>
      <c r="J79">
        <f t="shared" si="5"/>
        <v>0</v>
      </c>
    </row>
    <row r="80" spans="1:10" x14ac:dyDescent="0.3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4"/>
        <v>1548</v>
      </c>
      <c r="H80">
        <f t="shared" si="6"/>
        <v>513070</v>
      </c>
      <c r="I80">
        <f t="shared" si="7"/>
        <v>0</v>
      </c>
      <c r="J80">
        <f t="shared" si="5"/>
        <v>0</v>
      </c>
    </row>
    <row r="81" spans="1:10" x14ac:dyDescent="0.3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4"/>
        <v>240</v>
      </c>
      <c r="H81">
        <f t="shared" si="6"/>
        <v>512830</v>
      </c>
      <c r="I81">
        <f t="shared" si="7"/>
        <v>0</v>
      </c>
      <c r="J81">
        <f t="shared" si="5"/>
        <v>0</v>
      </c>
    </row>
    <row r="82" spans="1:10" x14ac:dyDescent="0.3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4"/>
        <v>280</v>
      </c>
      <c r="H82">
        <f t="shared" si="6"/>
        <v>512550</v>
      </c>
      <c r="I82">
        <f t="shared" si="7"/>
        <v>0</v>
      </c>
      <c r="J82">
        <f t="shared" si="5"/>
        <v>0</v>
      </c>
    </row>
    <row r="83" spans="1:10" x14ac:dyDescent="0.3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4"/>
        <v>1254</v>
      </c>
      <c r="H83">
        <f t="shared" si="6"/>
        <v>513804</v>
      </c>
      <c r="I83">
        <f t="shared" si="7"/>
        <v>512550</v>
      </c>
      <c r="J83">
        <f t="shared" si="5"/>
        <v>0</v>
      </c>
    </row>
    <row r="84" spans="1:10" x14ac:dyDescent="0.3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4"/>
        <v>1295</v>
      </c>
      <c r="H84">
        <f t="shared" si="6"/>
        <v>512509</v>
      </c>
      <c r="I84">
        <f t="shared" si="7"/>
        <v>0</v>
      </c>
      <c r="J84">
        <f t="shared" si="5"/>
        <v>0</v>
      </c>
    </row>
    <row r="85" spans="1:10" x14ac:dyDescent="0.3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4"/>
        <v>760</v>
      </c>
      <c r="H85">
        <f t="shared" si="6"/>
        <v>511749</v>
      </c>
      <c r="I85">
        <f t="shared" si="7"/>
        <v>0</v>
      </c>
      <c r="J85">
        <f t="shared" si="5"/>
        <v>0</v>
      </c>
    </row>
    <row r="86" spans="1:10" x14ac:dyDescent="0.3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4"/>
        <v>756</v>
      </c>
      <c r="H86">
        <f t="shared" si="6"/>
        <v>512505</v>
      </c>
      <c r="I86">
        <f t="shared" si="7"/>
        <v>511749</v>
      </c>
      <c r="J86">
        <f t="shared" si="5"/>
        <v>0</v>
      </c>
    </row>
    <row r="87" spans="1:10" x14ac:dyDescent="0.3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4"/>
        <v>194</v>
      </c>
      <c r="H87">
        <f t="shared" si="6"/>
        <v>512699</v>
      </c>
      <c r="I87">
        <f t="shared" si="7"/>
        <v>0</v>
      </c>
      <c r="J87">
        <f t="shared" si="5"/>
        <v>0</v>
      </c>
    </row>
    <row r="88" spans="1:10" x14ac:dyDescent="0.3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4"/>
        <v>240</v>
      </c>
      <c r="H88">
        <f t="shared" si="6"/>
        <v>512459</v>
      </c>
      <c r="I88">
        <f t="shared" si="7"/>
        <v>0</v>
      </c>
      <c r="J88">
        <f t="shared" si="5"/>
        <v>0</v>
      </c>
    </row>
    <row r="89" spans="1:10" x14ac:dyDescent="0.3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4"/>
        <v>120</v>
      </c>
      <c r="H89">
        <f t="shared" si="6"/>
        <v>512339</v>
      </c>
      <c r="I89">
        <f t="shared" si="7"/>
        <v>0</v>
      </c>
      <c r="J89">
        <f t="shared" si="5"/>
        <v>0</v>
      </c>
    </row>
    <row r="90" spans="1:10" x14ac:dyDescent="0.3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4"/>
        <v>40</v>
      </c>
      <c r="H90">
        <f t="shared" si="6"/>
        <v>512299</v>
      </c>
      <c r="I90">
        <f t="shared" si="7"/>
        <v>0</v>
      </c>
      <c r="J90">
        <f t="shared" si="5"/>
        <v>0</v>
      </c>
    </row>
    <row r="91" spans="1:10" x14ac:dyDescent="0.3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4"/>
        <v>1032</v>
      </c>
      <c r="H91">
        <f t="shared" si="6"/>
        <v>513331</v>
      </c>
      <c r="I91">
        <f t="shared" si="7"/>
        <v>512299</v>
      </c>
      <c r="J91">
        <f t="shared" si="5"/>
        <v>0</v>
      </c>
    </row>
    <row r="92" spans="1:10" x14ac:dyDescent="0.3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4"/>
        <v>3410</v>
      </c>
      <c r="H92">
        <f t="shared" si="6"/>
        <v>516741</v>
      </c>
      <c r="I92">
        <f t="shared" si="7"/>
        <v>0</v>
      </c>
      <c r="J92">
        <f t="shared" si="5"/>
        <v>0</v>
      </c>
    </row>
    <row r="93" spans="1:10" x14ac:dyDescent="0.3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4"/>
        <v>1254</v>
      </c>
      <c r="H93">
        <f t="shared" si="6"/>
        <v>515487</v>
      </c>
      <c r="I93">
        <f t="shared" si="7"/>
        <v>0</v>
      </c>
      <c r="J93">
        <f t="shared" si="5"/>
        <v>0</v>
      </c>
    </row>
    <row r="94" spans="1:10" x14ac:dyDescent="0.3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4"/>
        <v>299</v>
      </c>
      <c r="H94">
        <f t="shared" si="6"/>
        <v>515188</v>
      </c>
      <c r="I94">
        <f t="shared" si="7"/>
        <v>0</v>
      </c>
      <c r="J94">
        <f t="shared" si="5"/>
        <v>0</v>
      </c>
    </row>
    <row r="95" spans="1:10" x14ac:dyDescent="0.3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4"/>
        <v>2257</v>
      </c>
      <c r="H95">
        <f t="shared" si="6"/>
        <v>512931</v>
      </c>
      <c r="I95">
        <f t="shared" si="7"/>
        <v>0</v>
      </c>
      <c r="J95">
        <f t="shared" si="5"/>
        <v>0</v>
      </c>
    </row>
    <row r="96" spans="1:10" x14ac:dyDescent="0.3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4"/>
        <v>12</v>
      </c>
      <c r="H96">
        <f t="shared" si="6"/>
        <v>512943</v>
      </c>
      <c r="I96">
        <f t="shared" si="7"/>
        <v>512931</v>
      </c>
      <c r="J96">
        <f t="shared" si="5"/>
        <v>0</v>
      </c>
    </row>
    <row r="97" spans="1:10" x14ac:dyDescent="0.3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4"/>
        <v>4012</v>
      </c>
      <c r="H97">
        <f t="shared" si="6"/>
        <v>516955</v>
      </c>
      <c r="I97">
        <f t="shared" si="7"/>
        <v>0</v>
      </c>
      <c r="J97">
        <f t="shared" si="5"/>
        <v>0</v>
      </c>
    </row>
    <row r="98" spans="1:10" x14ac:dyDescent="0.3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4"/>
        <v>2310</v>
      </c>
      <c r="H98">
        <f t="shared" si="6"/>
        <v>514645</v>
      </c>
      <c r="I98">
        <f t="shared" si="7"/>
        <v>0</v>
      </c>
      <c r="J98">
        <f t="shared" si="5"/>
        <v>0</v>
      </c>
    </row>
    <row r="99" spans="1:10" x14ac:dyDescent="0.3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4"/>
        <v>525</v>
      </c>
      <c r="H99">
        <f t="shared" si="6"/>
        <v>514120</v>
      </c>
      <c r="I99">
        <f t="shared" si="7"/>
        <v>0</v>
      </c>
      <c r="J99">
        <f t="shared" si="5"/>
        <v>0</v>
      </c>
    </row>
    <row r="100" spans="1:10" x14ac:dyDescent="0.3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4"/>
        <v>250</v>
      </c>
      <c r="H100">
        <f t="shared" si="6"/>
        <v>513870</v>
      </c>
      <c r="I100">
        <f t="shared" si="7"/>
        <v>0</v>
      </c>
      <c r="J100">
        <f t="shared" si="5"/>
        <v>0</v>
      </c>
    </row>
    <row r="101" spans="1:10" x14ac:dyDescent="0.3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4"/>
        <v>1406</v>
      </c>
      <c r="H101">
        <f t="shared" si="6"/>
        <v>515276</v>
      </c>
      <c r="I101">
        <f t="shared" si="7"/>
        <v>513870</v>
      </c>
      <c r="J101">
        <f t="shared" si="5"/>
        <v>0</v>
      </c>
    </row>
    <row r="102" spans="1:10" x14ac:dyDescent="0.3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4"/>
        <v>176</v>
      </c>
      <c r="H102">
        <f t="shared" si="6"/>
        <v>515100</v>
      </c>
      <c r="I102">
        <f t="shared" si="7"/>
        <v>0</v>
      </c>
      <c r="J102">
        <f t="shared" si="5"/>
        <v>0</v>
      </c>
    </row>
    <row r="103" spans="1:10" x14ac:dyDescent="0.3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4"/>
        <v>500</v>
      </c>
      <c r="H103">
        <f t="shared" si="6"/>
        <v>514600</v>
      </c>
      <c r="I103">
        <f t="shared" si="7"/>
        <v>0</v>
      </c>
      <c r="J103">
        <f t="shared" si="5"/>
        <v>0</v>
      </c>
    </row>
    <row r="104" spans="1:10" x14ac:dyDescent="0.3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4"/>
        <v>312</v>
      </c>
      <c r="H104">
        <f t="shared" si="6"/>
        <v>514288</v>
      </c>
      <c r="I104">
        <f t="shared" si="7"/>
        <v>0</v>
      </c>
      <c r="J104">
        <f t="shared" si="5"/>
        <v>0</v>
      </c>
    </row>
    <row r="105" spans="1:10" x14ac:dyDescent="0.3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4"/>
        <v>2790</v>
      </c>
      <c r="H105">
        <f t="shared" si="6"/>
        <v>511498</v>
      </c>
      <c r="I105">
        <f t="shared" si="7"/>
        <v>0</v>
      </c>
      <c r="J105">
        <f t="shared" si="5"/>
        <v>0</v>
      </c>
    </row>
    <row r="106" spans="1:10" x14ac:dyDescent="0.3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4"/>
        <v>11600</v>
      </c>
      <c r="H106">
        <f t="shared" si="6"/>
        <v>523098</v>
      </c>
      <c r="I106">
        <f t="shared" si="7"/>
        <v>511498</v>
      </c>
      <c r="J106">
        <f t="shared" si="5"/>
        <v>0</v>
      </c>
    </row>
    <row r="107" spans="1:10" x14ac:dyDescent="0.3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4"/>
        <v>551</v>
      </c>
      <c r="H107">
        <f t="shared" si="6"/>
        <v>522547</v>
      </c>
      <c r="I107">
        <f t="shared" si="7"/>
        <v>0</v>
      </c>
      <c r="J107">
        <f t="shared" si="5"/>
        <v>0</v>
      </c>
    </row>
    <row r="108" spans="1:10" x14ac:dyDescent="0.3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4"/>
        <v>170</v>
      </c>
      <c r="H108">
        <f t="shared" si="6"/>
        <v>522717</v>
      </c>
      <c r="I108">
        <f t="shared" si="7"/>
        <v>522547</v>
      </c>
      <c r="J108">
        <f t="shared" si="5"/>
        <v>0</v>
      </c>
    </row>
    <row r="109" spans="1:10" x14ac:dyDescent="0.3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4"/>
        <v>242</v>
      </c>
      <c r="H109">
        <f t="shared" si="6"/>
        <v>522959</v>
      </c>
      <c r="I109">
        <f t="shared" si="7"/>
        <v>0</v>
      </c>
      <c r="J109">
        <f t="shared" si="5"/>
        <v>0</v>
      </c>
    </row>
    <row r="110" spans="1:10" x14ac:dyDescent="0.3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4"/>
        <v>814</v>
      </c>
      <c r="H110">
        <f t="shared" si="6"/>
        <v>522145</v>
      </c>
      <c r="I110">
        <f t="shared" si="7"/>
        <v>0</v>
      </c>
      <c r="J110">
        <f t="shared" si="5"/>
        <v>0</v>
      </c>
    </row>
    <row r="111" spans="1:10" x14ac:dyDescent="0.3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4"/>
        <v>700</v>
      </c>
      <c r="H111">
        <f t="shared" si="6"/>
        <v>521445</v>
      </c>
      <c r="I111">
        <f t="shared" si="7"/>
        <v>0</v>
      </c>
      <c r="J111">
        <f t="shared" si="5"/>
        <v>0</v>
      </c>
    </row>
    <row r="112" spans="1:10" x14ac:dyDescent="0.3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4"/>
        <v>1848</v>
      </c>
      <c r="H112">
        <f t="shared" si="6"/>
        <v>519597</v>
      </c>
      <c r="I112">
        <f t="shared" si="7"/>
        <v>0</v>
      </c>
      <c r="J112">
        <f t="shared" si="5"/>
        <v>0</v>
      </c>
    </row>
    <row r="113" spans="1:10" x14ac:dyDescent="0.3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4"/>
        <v>1034</v>
      </c>
      <c r="H113">
        <f t="shared" si="6"/>
        <v>520631</v>
      </c>
      <c r="I113">
        <f t="shared" si="7"/>
        <v>519597</v>
      </c>
      <c r="J113">
        <f t="shared" si="5"/>
        <v>0</v>
      </c>
    </row>
    <row r="114" spans="1:10" x14ac:dyDescent="0.3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4"/>
        <v>2832</v>
      </c>
      <c r="H114">
        <f t="shared" si="6"/>
        <v>523463</v>
      </c>
      <c r="I114">
        <f t="shared" si="7"/>
        <v>0</v>
      </c>
      <c r="J114">
        <f t="shared" si="5"/>
        <v>0</v>
      </c>
    </row>
    <row r="115" spans="1:10" x14ac:dyDescent="0.3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4"/>
        <v>420</v>
      </c>
      <c r="H115">
        <f t="shared" si="6"/>
        <v>523043</v>
      </c>
      <c r="I115">
        <f t="shared" si="7"/>
        <v>0</v>
      </c>
      <c r="J115">
        <f t="shared" si="5"/>
        <v>0</v>
      </c>
    </row>
    <row r="116" spans="1:10" x14ac:dyDescent="0.3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4"/>
        <v>650</v>
      </c>
      <c r="H116">
        <f t="shared" si="6"/>
        <v>522393</v>
      </c>
      <c r="I116">
        <f t="shared" si="7"/>
        <v>0</v>
      </c>
      <c r="J116">
        <f t="shared" si="5"/>
        <v>0</v>
      </c>
    </row>
    <row r="117" spans="1:10" x14ac:dyDescent="0.3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4"/>
        <v>216</v>
      </c>
      <c r="H117">
        <f t="shared" si="6"/>
        <v>522177</v>
      </c>
      <c r="I117">
        <f t="shared" si="7"/>
        <v>522393</v>
      </c>
      <c r="J117">
        <f t="shared" si="5"/>
        <v>0</v>
      </c>
    </row>
    <row r="118" spans="1:10" x14ac:dyDescent="0.3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4"/>
        <v>2584</v>
      </c>
      <c r="H118">
        <f t="shared" si="6"/>
        <v>519593</v>
      </c>
      <c r="I118">
        <f t="shared" si="7"/>
        <v>0</v>
      </c>
      <c r="J118">
        <f t="shared" si="5"/>
        <v>0</v>
      </c>
    </row>
    <row r="119" spans="1:10" x14ac:dyDescent="0.3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4"/>
        <v>294</v>
      </c>
      <c r="H119">
        <f t="shared" si="6"/>
        <v>519299</v>
      </c>
      <c r="I119">
        <f t="shared" si="7"/>
        <v>0</v>
      </c>
      <c r="J119">
        <f t="shared" si="5"/>
        <v>0</v>
      </c>
    </row>
    <row r="120" spans="1:10" x14ac:dyDescent="0.3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4"/>
        <v>172</v>
      </c>
      <c r="H120">
        <f t="shared" si="6"/>
        <v>519127</v>
      </c>
      <c r="I120">
        <f t="shared" si="7"/>
        <v>0</v>
      </c>
      <c r="J120">
        <f t="shared" si="5"/>
        <v>0</v>
      </c>
    </row>
    <row r="121" spans="1:10" x14ac:dyDescent="0.3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4"/>
        <v>684</v>
      </c>
      <c r="H121">
        <f t="shared" si="6"/>
        <v>519811</v>
      </c>
      <c r="I121">
        <f t="shared" si="7"/>
        <v>519127</v>
      </c>
      <c r="J121">
        <f t="shared" si="5"/>
        <v>0</v>
      </c>
    </row>
    <row r="122" spans="1:10" x14ac:dyDescent="0.3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4"/>
        <v>1950</v>
      </c>
      <c r="H122">
        <f t="shared" si="6"/>
        <v>517861</v>
      </c>
      <c r="I122">
        <f t="shared" si="7"/>
        <v>0</v>
      </c>
      <c r="J122">
        <f t="shared" si="5"/>
        <v>0</v>
      </c>
    </row>
    <row r="123" spans="1:10" x14ac:dyDescent="0.3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4"/>
        <v>378</v>
      </c>
      <c r="H123">
        <f t="shared" si="6"/>
        <v>518239</v>
      </c>
      <c r="I123">
        <f t="shared" si="7"/>
        <v>517861</v>
      </c>
      <c r="J123">
        <f t="shared" si="5"/>
        <v>0</v>
      </c>
    </row>
    <row r="124" spans="1:10" x14ac:dyDescent="0.3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4"/>
        <v>2537</v>
      </c>
      <c r="H124">
        <f t="shared" si="6"/>
        <v>515702</v>
      </c>
      <c r="I124">
        <f t="shared" si="7"/>
        <v>0</v>
      </c>
      <c r="J124">
        <f t="shared" si="5"/>
        <v>0</v>
      </c>
    </row>
    <row r="125" spans="1:10" x14ac:dyDescent="0.3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4"/>
        <v>61</v>
      </c>
      <c r="H125">
        <f t="shared" si="6"/>
        <v>515763</v>
      </c>
      <c r="I125">
        <f t="shared" si="7"/>
        <v>515702</v>
      </c>
      <c r="J125">
        <f t="shared" si="5"/>
        <v>0</v>
      </c>
    </row>
    <row r="126" spans="1:10" x14ac:dyDescent="0.3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4"/>
        <v>4410</v>
      </c>
      <c r="H126">
        <f t="shared" si="6"/>
        <v>520173</v>
      </c>
      <c r="I126">
        <f t="shared" si="7"/>
        <v>0</v>
      </c>
      <c r="J126">
        <f t="shared" si="5"/>
        <v>0</v>
      </c>
    </row>
    <row r="127" spans="1:10" x14ac:dyDescent="0.3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4"/>
        <v>120</v>
      </c>
      <c r="H127">
        <f t="shared" si="6"/>
        <v>520053</v>
      </c>
      <c r="I127">
        <f t="shared" si="7"/>
        <v>0</v>
      </c>
      <c r="J127">
        <f t="shared" si="5"/>
        <v>0</v>
      </c>
    </row>
    <row r="128" spans="1:10" x14ac:dyDescent="0.3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4"/>
        <v>1512</v>
      </c>
      <c r="H128">
        <f t="shared" si="6"/>
        <v>518541</v>
      </c>
      <c r="I128">
        <f t="shared" si="7"/>
        <v>0</v>
      </c>
      <c r="J128">
        <f t="shared" si="5"/>
        <v>0</v>
      </c>
    </row>
    <row r="129" spans="1:10" x14ac:dyDescent="0.3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4"/>
        <v>456</v>
      </c>
      <c r="H129">
        <f t="shared" si="6"/>
        <v>518085</v>
      </c>
      <c r="I129">
        <f t="shared" si="7"/>
        <v>0</v>
      </c>
      <c r="J129">
        <f t="shared" si="5"/>
        <v>0</v>
      </c>
    </row>
    <row r="130" spans="1:10" x14ac:dyDescent="0.3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4"/>
        <v>13266</v>
      </c>
      <c r="H130">
        <f t="shared" si="6"/>
        <v>531351</v>
      </c>
      <c r="I130">
        <f t="shared" si="7"/>
        <v>518085</v>
      </c>
      <c r="J130">
        <f t="shared" si="5"/>
        <v>0</v>
      </c>
    </row>
    <row r="131" spans="1:10" x14ac:dyDescent="0.3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ref="G131:G194" si="8">E131*F131</f>
        <v>456</v>
      </c>
      <c r="H131">
        <f t="shared" si="6"/>
        <v>530895</v>
      </c>
      <c r="I131">
        <f t="shared" si="7"/>
        <v>0</v>
      </c>
      <c r="J131">
        <f t="shared" ref="J131:J194" si="9">IF(H131&lt;0,1,0)</f>
        <v>0</v>
      </c>
    </row>
    <row r="132" spans="1:10" x14ac:dyDescent="0.3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si="8"/>
        <v>120</v>
      </c>
      <c r="H132">
        <f t="shared" ref="H132:H195" si="10">IF(D132="Z",H131-G132,H131+G132)</f>
        <v>531015</v>
      </c>
      <c r="I132">
        <f t="shared" ref="I132:I195" si="11">IF(A131&lt;&gt;A132,H131,0)</f>
        <v>530895</v>
      </c>
      <c r="J132">
        <f t="shared" si="9"/>
        <v>0</v>
      </c>
    </row>
    <row r="133" spans="1:10" x14ac:dyDescent="0.3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8"/>
        <v>208</v>
      </c>
      <c r="H133">
        <f t="shared" si="10"/>
        <v>530807</v>
      </c>
      <c r="I133">
        <f t="shared" si="11"/>
        <v>0</v>
      </c>
      <c r="J133">
        <f t="shared" si="9"/>
        <v>0</v>
      </c>
    </row>
    <row r="134" spans="1:10" x14ac:dyDescent="0.3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8"/>
        <v>2508</v>
      </c>
      <c r="H134">
        <f t="shared" si="10"/>
        <v>528299</v>
      </c>
      <c r="I134">
        <f t="shared" si="11"/>
        <v>0</v>
      </c>
      <c r="J134">
        <f t="shared" si="9"/>
        <v>0</v>
      </c>
    </row>
    <row r="135" spans="1:10" x14ac:dyDescent="0.3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8"/>
        <v>3724</v>
      </c>
      <c r="H135">
        <f t="shared" si="10"/>
        <v>532023</v>
      </c>
      <c r="I135">
        <f t="shared" si="11"/>
        <v>528299</v>
      </c>
      <c r="J135">
        <f t="shared" si="9"/>
        <v>0</v>
      </c>
    </row>
    <row r="136" spans="1:10" x14ac:dyDescent="0.3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8"/>
        <v>1628</v>
      </c>
      <c r="H136">
        <f t="shared" si="10"/>
        <v>533651</v>
      </c>
      <c r="I136">
        <f t="shared" si="11"/>
        <v>0</v>
      </c>
      <c r="J136">
        <f t="shared" si="9"/>
        <v>0</v>
      </c>
    </row>
    <row r="137" spans="1:10" x14ac:dyDescent="0.3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8"/>
        <v>168</v>
      </c>
      <c r="H137">
        <f t="shared" si="10"/>
        <v>533483</v>
      </c>
      <c r="I137">
        <f t="shared" si="11"/>
        <v>0</v>
      </c>
      <c r="J137">
        <f t="shared" si="9"/>
        <v>0</v>
      </c>
    </row>
    <row r="138" spans="1:10" x14ac:dyDescent="0.3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8"/>
        <v>390</v>
      </c>
      <c r="H138">
        <f t="shared" si="10"/>
        <v>533093</v>
      </c>
      <c r="I138">
        <f t="shared" si="11"/>
        <v>0</v>
      </c>
      <c r="J138">
        <f t="shared" si="9"/>
        <v>0</v>
      </c>
    </row>
    <row r="139" spans="1:10" x14ac:dyDescent="0.3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8"/>
        <v>570</v>
      </c>
      <c r="H139">
        <f t="shared" si="10"/>
        <v>533663</v>
      </c>
      <c r="I139">
        <f t="shared" si="11"/>
        <v>533093</v>
      </c>
      <c r="J139">
        <f t="shared" si="9"/>
        <v>0</v>
      </c>
    </row>
    <row r="140" spans="1:10" x14ac:dyDescent="0.3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8"/>
        <v>1386</v>
      </c>
      <c r="H140">
        <f t="shared" si="10"/>
        <v>535049</v>
      </c>
      <c r="I140">
        <f t="shared" si="11"/>
        <v>0</v>
      </c>
      <c r="J140">
        <f t="shared" si="9"/>
        <v>0</v>
      </c>
    </row>
    <row r="141" spans="1:10" x14ac:dyDescent="0.3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8"/>
        <v>540</v>
      </c>
      <c r="H141">
        <f t="shared" si="10"/>
        <v>534509</v>
      </c>
      <c r="I141">
        <f t="shared" si="11"/>
        <v>0</v>
      </c>
      <c r="J141">
        <f t="shared" si="9"/>
        <v>0</v>
      </c>
    </row>
    <row r="142" spans="1:10" x14ac:dyDescent="0.3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8"/>
        <v>114</v>
      </c>
      <c r="H142">
        <f t="shared" si="10"/>
        <v>534395</v>
      </c>
      <c r="I142">
        <f t="shared" si="11"/>
        <v>0</v>
      </c>
      <c r="J142">
        <f t="shared" si="9"/>
        <v>0</v>
      </c>
    </row>
    <row r="143" spans="1:10" x14ac:dyDescent="0.3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8"/>
        <v>32</v>
      </c>
      <c r="H143">
        <f t="shared" si="10"/>
        <v>534363</v>
      </c>
      <c r="I143">
        <f t="shared" si="11"/>
        <v>0</v>
      </c>
      <c r="J143">
        <f t="shared" si="9"/>
        <v>0</v>
      </c>
    </row>
    <row r="144" spans="1:10" x14ac:dyDescent="0.3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8"/>
        <v>150</v>
      </c>
      <c r="H144">
        <f t="shared" si="10"/>
        <v>534513</v>
      </c>
      <c r="I144">
        <f t="shared" si="11"/>
        <v>534363</v>
      </c>
      <c r="J144">
        <f t="shared" si="9"/>
        <v>0</v>
      </c>
    </row>
    <row r="145" spans="1:10" x14ac:dyDescent="0.3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8"/>
        <v>3792</v>
      </c>
      <c r="H145">
        <f t="shared" si="10"/>
        <v>530721</v>
      </c>
      <c r="I145">
        <f t="shared" si="11"/>
        <v>0</v>
      </c>
      <c r="J145">
        <f t="shared" si="9"/>
        <v>0</v>
      </c>
    </row>
    <row r="146" spans="1:10" x14ac:dyDescent="0.3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8"/>
        <v>1428</v>
      </c>
      <c r="H146">
        <f t="shared" si="10"/>
        <v>529293</v>
      </c>
      <c r="I146">
        <f t="shared" si="11"/>
        <v>530721</v>
      </c>
      <c r="J146">
        <f t="shared" si="9"/>
        <v>0</v>
      </c>
    </row>
    <row r="147" spans="1:10" x14ac:dyDescent="0.3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8"/>
        <v>1715</v>
      </c>
      <c r="H147">
        <f t="shared" si="10"/>
        <v>531008</v>
      </c>
      <c r="I147">
        <f t="shared" si="11"/>
        <v>0</v>
      </c>
      <c r="J147">
        <f t="shared" si="9"/>
        <v>0</v>
      </c>
    </row>
    <row r="148" spans="1:10" x14ac:dyDescent="0.3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8"/>
        <v>80</v>
      </c>
      <c r="H148">
        <f t="shared" si="10"/>
        <v>530928</v>
      </c>
      <c r="I148">
        <f t="shared" si="11"/>
        <v>0</v>
      </c>
      <c r="J148">
        <f t="shared" si="9"/>
        <v>0</v>
      </c>
    </row>
    <row r="149" spans="1:10" x14ac:dyDescent="0.3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8"/>
        <v>987</v>
      </c>
      <c r="H149">
        <f t="shared" si="10"/>
        <v>529941</v>
      </c>
      <c r="I149">
        <f t="shared" si="11"/>
        <v>0</v>
      </c>
      <c r="J149">
        <f t="shared" si="9"/>
        <v>0</v>
      </c>
    </row>
    <row r="150" spans="1:10" x14ac:dyDescent="0.3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8"/>
        <v>3168</v>
      </c>
      <c r="H150">
        <f t="shared" si="10"/>
        <v>526773</v>
      </c>
      <c r="I150">
        <f t="shared" si="11"/>
        <v>0</v>
      </c>
      <c r="J150">
        <f t="shared" si="9"/>
        <v>0</v>
      </c>
    </row>
    <row r="151" spans="1:10" x14ac:dyDescent="0.3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8"/>
        <v>1972</v>
      </c>
      <c r="H151">
        <f t="shared" si="10"/>
        <v>528745</v>
      </c>
      <c r="I151">
        <f t="shared" si="11"/>
        <v>526773</v>
      </c>
      <c r="J151">
        <f t="shared" si="9"/>
        <v>0</v>
      </c>
    </row>
    <row r="152" spans="1:10" x14ac:dyDescent="0.3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8"/>
        <v>45</v>
      </c>
      <c r="H152">
        <f t="shared" si="10"/>
        <v>528700</v>
      </c>
      <c r="I152">
        <f t="shared" si="11"/>
        <v>0</v>
      </c>
      <c r="J152">
        <f t="shared" si="9"/>
        <v>0</v>
      </c>
    </row>
    <row r="153" spans="1:10" x14ac:dyDescent="0.3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8"/>
        <v>1380</v>
      </c>
      <c r="H153">
        <f t="shared" si="10"/>
        <v>530080</v>
      </c>
      <c r="I153">
        <f t="shared" si="11"/>
        <v>528700</v>
      </c>
      <c r="J153">
        <f t="shared" si="9"/>
        <v>0</v>
      </c>
    </row>
    <row r="154" spans="1:10" x14ac:dyDescent="0.3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8"/>
        <v>3185</v>
      </c>
      <c r="H154">
        <f t="shared" si="10"/>
        <v>526895</v>
      </c>
      <c r="I154">
        <f t="shared" si="11"/>
        <v>0</v>
      </c>
      <c r="J154">
        <f t="shared" si="9"/>
        <v>0</v>
      </c>
    </row>
    <row r="155" spans="1:10" x14ac:dyDescent="0.3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8"/>
        <v>128</v>
      </c>
      <c r="H155">
        <f t="shared" si="10"/>
        <v>526767</v>
      </c>
      <c r="I155">
        <f t="shared" si="11"/>
        <v>0</v>
      </c>
      <c r="J155">
        <f t="shared" si="9"/>
        <v>0</v>
      </c>
    </row>
    <row r="156" spans="1:10" x14ac:dyDescent="0.3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8"/>
        <v>185</v>
      </c>
      <c r="H156">
        <f t="shared" si="10"/>
        <v>526582</v>
      </c>
      <c r="I156">
        <f t="shared" si="11"/>
        <v>526767</v>
      </c>
      <c r="J156">
        <f t="shared" si="9"/>
        <v>0</v>
      </c>
    </row>
    <row r="157" spans="1:10" x14ac:dyDescent="0.3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8"/>
        <v>32</v>
      </c>
      <c r="H157">
        <f t="shared" si="10"/>
        <v>526614</v>
      </c>
      <c r="I157">
        <f t="shared" si="11"/>
        <v>0</v>
      </c>
      <c r="J157">
        <f t="shared" si="9"/>
        <v>0</v>
      </c>
    </row>
    <row r="158" spans="1:10" x14ac:dyDescent="0.3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8"/>
        <v>238</v>
      </c>
      <c r="H158">
        <f t="shared" si="10"/>
        <v>526376</v>
      </c>
      <c r="I158">
        <f t="shared" si="11"/>
        <v>0</v>
      </c>
      <c r="J158">
        <f t="shared" si="9"/>
        <v>0</v>
      </c>
    </row>
    <row r="159" spans="1:10" x14ac:dyDescent="0.3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8"/>
        <v>1711</v>
      </c>
      <c r="H159">
        <f t="shared" si="10"/>
        <v>524665</v>
      </c>
      <c r="I159">
        <f t="shared" si="11"/>
        <v>0</v>
      </c>
      <c r="J159">
        <f t="shared" si="9"/>
        <v>0</v>
      </c>
    </row>
    <row r="160" spans="1:10" x14ac:dyDescent="0.3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8"/>
        <v>816</v>
      </c>
      <c r="H160">
        <f t="shared" si="10"/>
        <v>523849</v>
      </c>
      <c r="I160">
        <f t="shared" si="11"/>
        <v>524665</v>
      </c>
      <c r="J160">
        <f t="shared" si="9"/>
        <v>0</v>
      </c>
    </row>
    <row r="161" spans="1:10" x14ac:dyDescent="0.3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8"/>
        <v>540</v>
      </c>
      <c r="H161">
        <f t="shared" si="10"/>
        <v>523309</v>
      </c>
      <c r="I161">
        <f t="shared" si="11"/>
        <v>0</v>
      </c>
      <c r="J161">
        <f t="shared" si="9"/>
        <v>0</v>
      </c>
    </row>
    <row r="162" spans="1:10" x14ac:dyDescent="0.3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8"/>
        <v>320</v>
      </c>
      <c r="H162">
        <f t="shared" si="10"/>
        <v>522989</v>
      </c>
      <c r="I162">
        <f t="shared" si="11"/>
        <v>0</v>
      </c>
      <c r="J162">
        <f t="shared" si="9"/>
        <v>0</v>
      </c>
    </row>
    <row r="163" spans="1:10" x14ac:dyDescent="0.3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8"/>
        <v>18216</v>
      </c>
      <c r="H163">
        <f t="shared" si="10"/>
        <v>541205</v>
      </c>
      <c r="I163">
        <f t="shared" si="11"/>
        <v>522989</v>
      </c>
      <c r="J163">
        <f t="shared" si="9"/>
        <v>0</v>
      </c>
    </row>
    <row r="164" spans="1:10" x14ac:dyDescent="0.3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8"/>
        <v>1824</v>
      </c>
      <c r="H164">
        <f t="shared" si="10"/>
        <v>539381</v>
      </c>
      <c r="I164">
        <f t="shared" si="11"/>
        <v>0</v>
      </c>
      <c r="J164">
        <f t="shared" si="9"/>
        <v>0</v>
      </c>
    </row>
    <row r="165" spans="1:10" x14ac:dyDescent="0.3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8"/>
        <v>483</v>
      </c>
      <c r="H165">
        <f t="shared" si="10"/>
        <v>538898</v>
      </c>
      <c r="I165">
        <f t="shared" si="11"/>
        <v>0</v>
      </c>
      <c r="J165">
        <f t="shared" si="9"/>
        <v>0</v>
      </c>
    </row>
    <row r="166" spans="1:10" x14ac:dyDescent="0.3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8"/>
        <v>3102</v>
      </c>
      <c r="H166">
        <f t="shared" si="10"/>
        <v>535796</v>
      </c>
      <c r="I166">
        <f t="shared" si="11"/>
        <v>538898</v>
      </c>
      <c r="J166">
        <f t="shared" si="9"/>
        <v>0</v>
      </c>
    </row>
    <row r="167" spans="1:10" x14ac:dyDescent="0.3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8"/>
        <v>150</v>
      </c>
      <c r="H167">
        <f t="shared" si="10"/>
        <v>535646</v>
      </c>
      <c r="I167">
        <f t="shared" si="11"/>
        <v>0</v>
      </c>
      <c r="J167">
        <f t="shared" si="9"/>
        <v>0</v>
      </c>
    </row>
    <row r="168" spans="1:10" x14ac:dyDescent="0.3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8"/>
        <v>1927</v>
      </c>
      <c r="H168">
        <f t="shared" si="10"/>
        <v>533719</v>
      </c>
      <c r="I168">
        <f t="shared" si="11"/>
        <v>0</v>
      </c>
      <c r="J168">
        <f t="shared" si="9"/>
        <v>0</v>
      </c>
    </row>
    <row r="169" spans="1:10" x14ac:dyDescent="0.3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8"/>
        <v>2304</v>
      </c>
      <c r="H169">
        <f t="shared" si="10"/>
        <v>536023</v>
      </c>
      <c r="I169">
        <f t="shared" si="11"/>
        <v>533719</v>
      </c>
      <c r="J169">
        <f t="shared" si="9"/>
        <v>0</v>
      </c>
    </row>
    <row r="170" spans="1:10" x14ac:dyDescent="0.3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8"/>
        <v>1776</v>
      </c>
      <c r="H170">
        <f t="shared" si="10"/>
        <v>537799</v>
      </c>
      <c r="I170">
        <f t="shared" si="11"/>
        <v>0</v>
      </c>
      <c r="J170">
        <f t="shared" si="9"/>
        <v>0</v>
      </c>
    </row>
    <row r="171" spans="1:10" x14ac:dyDescent="0.3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8"/>
        <v>1116</v>
      </c>
      <c r="H171">
        <f t="shared" si="10"/>
        <v>536683</v>
      </c>
      <c r="I171">
        <f t="shared" si="11"/>
        <v>0</v>
      </c>
      <c r="J171">
        <f t="shared" si="9"/>
        <v>0</v>
      </c>
    </row>
    <row r="172" spans="1:10" x14ac:dyDescent="0.3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8"/>
        <v>975</v>
      </c>
      <c r="H172">
        <f t="shared" si="10"/>
        <v>535708</v>
      </c>
      <c r="I172">
        <f t="shared" si="11"/>
        <v>0</v>
      </c>
      <c r="J172">
        <f t="shared" si="9"/>
        <v>0</v>
      </c>
    </row>
    <row r="173" spans="1:10" x14ac:dyDescent="0.3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8"/>
        <v>40</v>
      </c>
      <c r="H173">
        <f t="shared" si="10"/>
        <v>535668</v>
      </c>
      <c r="I173">
        <f t="shared" si="11"/>
        <v>0</v>
      </c>
      <c r="J173">
        <f t="shared" si="9"/>
        <v>0</v>
      </c>
    </row>
    <row r="174" spans="1:10" x14ac:dyDescent="0.3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8"/>
        <v>494</v>
      </c>
      <c r="H174">
        <f t="shared" si="10"/>
        <v>536162</v>
      </c>
      <c r="I174">
        <f t="shared" si="11"/>
        <v>535668</v>
      </c>
      <c r="J174">
        <f t="shared" si="9"/>
        <v>0</v>
      </c>
    </row>
    <row r="175" spans="1:10" x14ac:dyDescent="0.3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8"/>
        <v>7623</v>
      </c>
      <c r="H175">
        <f t="shared" si="10"/>
        <v>543785</v>
      </c>
      <c r="I175">
        <f t="shared" si="11"/>
        <v>0</v>
      </c>
      <c r="J175">
        <f t="shared" si="9"/>
        <v>0</v>
      </c>
    </row>
    <row r="176" spans="1:10" x14ac:dyDescent="0.3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8"/>
        <v>570</v>
      </c>
      <c r="H176">
        <f t="shared" si="10"/>
        <v>543215</v>
      </c>
      <c r="I176">
        <f t="shared" si="11"/>
        <v>0</v>
      </c>
      <c r="J176">
        <f t="shared" si="9"/>
        <v>0</v>
      </c>
    </row>
    <row r="177" spans="1:10" x14ac:dyDescent="0.3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8"/>
        <v>368</v>
      </c>
      <c r="H177">
        <f t="shared" si="10"/>
        <v>542847</v>
      </c>
      <c r="I177">
        <f t="shared" si="11"/>
        <v>0</v>
      </c>
      <c r="J177">
        <f t="shared" si="9"/>
        <v>0</v>
      </c>
    </row>
    <row r="178" spans="1:10" x14ac:dyDescent="0.3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8"/>
        <v>539</v>
      </c>
      <c r="H178">
        <f t="shared" si="10"/>
        <v>543386</v>
      </c>
      <c r="I178">
        <f t="shared" si="11"/>
        <v>542847</v>
      </c>
      <c r="J178">
        <f t="shared" si="9"/>
        <v>0</v>
      </c>
    </row>
    <row r="179" spans="1:10" x14ac:dyDescent="0.3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8"/>
        <v>5490</v>
      </c>
      <c r="H179">
        <f t="shared" si="10"/>
        <v>548876</v>
      </c>
      <c r="I179">
        <f t="shared" si="11"/>
        <v>0</v>
      </c>
      <c r="J179">
        <f t="shared" si="9"/>
        <v>0</v>
      </c>
    </row>
    <row r="180" spans="1:10" x14ac:dyDescent="0.3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8"/>
        <v>418</v>
      </c>
      <c r="H180">
        <f t="shared" si="10"/>
        <v>548458</v>
      </c>
      <c r="I180">
        <f t="shared" si="11"/>
        <v>0</v>
      </c>
      <c r="J180">
        <f t="shared" si="9"/>
        <v>0</v>
      </c>
    </row>
    <row r="181" spans="1:10" x14ac:dyDescent="0.3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8"/>
        <v>968</v>
      </c>
      <c r="H181">
        <f t="shared" si="10"/>
        <v>547490</v>
      </c>
      <c r="I181">
        <f t="shared" si="11"/>
        <v>0</v>
      </c>
      <c r="J181">
        <f t="shared" si="9"/>
        <v>0</v>
      </c>
    </row>
    <row r="182" spans="1:10" x14ac:dyDescent="0.3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8"/>
        <v>225</v>
      </c>
      <c r="H182">
        <f t="shared" si="10"/>
        <v>547265</v>
      </c>
      <c r="I182">
        <f t="shared" si="11"/>
        <v>547490</v>
      </c>
      <c r="J182">
        <f t="shared" si="9"/>
        <v>0</v>
      </c>
    </row>
    <row r="183" spans="1:10" x14ac:dyDescent="0.3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8"/>
        <v>376</v>
      </c>
      <c r="H183">
        <f t="shared" si="10"/>
        <v>547641</v>
      </c>
      <c r="I183">
        <f t="shared" si="11"/>
        <v>0</v>
      </c>
      <c r="J183">
        <f t="shared" si="9"/>
        <v>0</v>
      </c>
    </row>
    <row r="184" spans="1:10" x14ac:dyDescent="0.3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8"/>
        <v>168</v>
      </c>
      <c r="H184">
        <f t="shared" si="10"/>
        <v>547473</v>
      </c>
      <c r="I184">
        <f t="shared" si="11"/>
        <v>0</v>
      </c>
      <c r="J184">
        <f t="shared" si="9"/>
        <v>0</v>
      </c>
    </row>
    <row r="185" spans="1:10" x14ac:dyDescent="0.3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8"/>
        <v>376</v>
      </c>
      <c r="H185">
        <f t="shared" si="10"/>
        <v>547097</v>
      </c>
      <c r="I185">
        <f t="shared" si="11"/>
        <v>0</v>
      </c>
      <c r="J185">
        <f t="shared" si="9"/>
        <v>0</v>
      </c>
    </row>
    <row r="186" spans="1:10" x14ac:dyDescent="0.3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8"/>
        <v>2378</v>
      </c>
      <c r="H186">
        <f t="shared" si="10"/>
        <v>549475</v>
      </c>
      <c r="I186">
        <f t="shared" si="11"/>
        <v>547097</v>
      </c>
      <c r="J186">
        <f t="shared" si="9"/>
        <v>0</v>
      </c>
    </row>
    <row r="187" spans="1:10" x14ac:dyDescent="0.3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8"/>
        <v>1508</v>
      </c>
      <c r="H187">
        <f t="shared" si="10"/>
        <v>550983</v>
      </c>
      <c r="I187">
        <f t="shared" si="11"/>
        <v>0</v>
      </c>
      <c r="J187">
        <f t="shared" si="9"/>
        <v>0</v>
      </c>
    </row>
    <row r="188" spans="1:10" x14ac:dyDescent="0.3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8"/>
        <v>216</v>
      </c>
      <c r="H188">
        <f t="shared" si="10"/>
        <v>550767</v>
      </c>
      <c r="I188">
        <f t="shared" si="11"/>
        <v>0</v>
      </c>
      <c r="J188">
        <f t="shared" si="9"/>
        <v>0</v>
      </c>
    </row>
    <row r="189" spans="1:10" x14ac:dyDescent="0.3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8"/>
        <v>936</v>
      </c>
      <c r="H189">
        <f t="shared" si="10"/>
        <v>549831</v>
      </c>
      <c r="I189">
        <f t="shared" si="11"/>
        <v>0</v>
      </c>
      <c r="J189">
        <f t="shared" si="9"/>
        <v>0</v>
      </c>
    </row>
    <row r="190" spans="1:10" x14ac:dyDescent="0.3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8"/>
        <v>408</v>
      </c>
      <c r="H190">
        <f t="shared" si="10"/>
        <v>549423</v>
      </c>
      <c r="I190">
        <f t="shared" si="11"/>
        <v>0</v>
      </c>
      <c r="J190">
        <f t="shared" si="9"/>
        <v>0</v>
      </c>
    </row>
    <row r="191" spans="1:10" x14ac:dyDescent="0.3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8"/>
        <v>1620</v>
      </c>
      <c r="H191">
        <f t="shared" si="10"/>
        <v>551043</v>
      </c>
      <c r="I191">
        <f t="shared" si="11"/>
        <v>549423</v>
      </c>
      <c r="J191">
        <f t="shared" si="9"/>
        <v>0</v>
      </c>
    </row>
    <row r="192" spans="1:10" x14ac:dyDescent="0.3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8"/>
        <v>144</v>
      </c>
      <c r="H192">
        <f t="shared" si="10"/>
        <v>550899</v>
      </c>
      <c r="I192">
        <f t="shared" si="11"/>
        <v>0</v>
      </c>
      <c r="J192">
        <f t="shared" si="9"/>
        <v>0</v>
      </c>
    </row>
    <row r="193" spans="1:10" x14ac:dyDescent="0.3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8"/>
        <v>820</v>
      </c>
      <c r="H193">
        <f t="shared" si="10"/>
        <v>550079</v>
      </c>
      <c r="I193">
        <f t="shared" si="11"/>
        <v>0</v>
      </c>
      <c r="J193">
        <f t="shared" si="9"/>
        <v>0</v>
      </c>
    </row>
    <row r="194" spans="1:10" x14ac:dyDescent="0.3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8"/>
        <v>128</v>
      </c>
      <c r="H194">
        <f t="shared" si="10"/>
        <v>550207</v>
      </c>
      <c r="I194">
        <f t="shared" si="11"/>
        <v>550079</v>
      </c>
      <c r="J194">
        <f t="shared" si="9"/>
        <v>0</v>
      </c>
    </row>
    <row r="195" spans="1:10" x14ac:dyDescent="0.3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ref="G195:G203" si="12">E195*F195</f>
        <v>1776</v>
      </c>
      <c r="H195">
        <f t="shared" si="10"/>
        <v>548431</v>
      </c>
      <c r="I195">
        <f t="shared" si="11"/>
        <v>0</v>
      </c>
      <c r="J195">
        <f t="shared" ref="J195:J203" si="13">IF(H195&lt;0,1,0)</f>
        <v>0</v>
      </c>
    </row>
    <row r="196" spans="1:10" x14ac:dyDescent="0.3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si="12"/>
        <v>3904</v>
      </c>
      <c r="H196">
        <f t="shared" ref="H196:H203" si="14">IF(D196="Z",H195-G196,H195+G196)</f>
        <v>552335</v>
      </c>
      <c r="I196">
        <f t="shared" ref="I196:I203" si="15">IF(A195&lt;&gt;A196,H195,0)</f>
        <v>548431</v>
      </c>
      <c r="J196">
        <f t="shared" si="13"/>
        <v>0</v>
      </c>
    </row>
    <row r="197" spans="1:10" x14ac:dyDescent="0.3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12"/>
        <v>2709</v>
      </c>
      <c r="H197">
        <f t="shared" si="14"/>
        <v>549626</v>
      </c>
      <c r="I197">
        <f t="shared" si="15"/>
        <v>0</v>
      </c>
      <c r="J197">
        <f t="shared" si="13"/>
        <v>0</v>
      </c>
    </row>
    <row r="198" spans="1:10" x14ac:dyDescent="0.3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12"/>
        <v>576</v>
      </c>
      <c r="H198">
        <f t="shared" si="14"/>
        <v>549050</v>
      </c>
      <c r="I198">
        <f t="shared" si="15"/>
        <v>0</v>
      </c>
      <c r="J198">
        <f t="shared" si="13"/>
        <v>0</v>
      </c>
    </row>
    <row r="199" spans="1:10" x14ac:dyDescent="0.3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12"/>
        <v>248</v>
      </c>
      <c r="H199">
        <f t="shared" si="14"/>
        <v>549298</v>
      </c>
      <c r="I199">
        <f t="shared" si="15"/>
        <v>549050</v>
      </c>
      <c r="J199">
        <f t="shared" si="13"/>
        <v>0</v>
      </c>
    </row>
    <row r="200" spans="1:10" x14ac:dyDescent="0.3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12"/>
        <v>665</v>
      </c>
      <c r="H200">
        <f t="shared" si="14"/>
        <v>548633</v>
      </c>
      <c r="I200">
        <f t="shared" si="15"/>
        <v>0</v>
      </c>
      <c r="J200">
        <f t="shared" si="13"/>
        <v>0</v>
      </c>
    </row>
    <row r="201" spans="1:10" x14ac:dyDescent="0.3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12"/>
        <v>328</v>
      </c>
      <c r="H201">
        <f t="shared" si="14"/>
        <v>548305</v>
      </c>
      <c r="I201">
        <f t="shared" si="15"/>
        <v>0</v>
      </c>
      <c r="J201">
        <f t="shared" si="13"/>
        <v>0</v>
      </c>
    </row>
    <row r="202" spans="1:10" x14ac:dyDescent="0.3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12"/>
        <v>1403</v>
      </c>
      <c r="H202">
        <f t="shared" si="14"/>
        <v>546902</v>
      </c>
      <c r="I202">
        <f t="shared" si="15"/>
        <v>0</v>
      </c>
      <c r="J202">
        <f t="shared" si="13"/>
        <v>0</v>
      </c>
    </row>
    <row r="203" spans="1:10" x14ac:dyDescent="0.3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12"/>
        <v>1058</v>
      </c>
      <c r="H203">
        <f t="shared" si="14"/>
        <v>545844</v>
      </c>
      <c r="I203">
        <f t="shared" si="15"/>
        <v>0</v>
      </c>
      <c r="J203">
        <f t="shared" si="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Podpunkt1</vt:lpstr>
      <vt:lpstr>Podpunkt2</vt:lpstr>
      <vt:lpstr>Podpunkt3</vt:lpstr>
      <vt:lpstr>Podpunkt4</vt:lpstr>
      <vt:lpstr>Podpunkt5</vt:lpstr>
      <vt:lpstr>Podpunkt1!statek</vt:lpstr>
      <vt:lpstr>Podpunkt2!statek</vt:lpstr>
      <vt:lpstr>Podpunkt3!statek</vt:lpstr>
      <vt:lpstr>Podpunkt4!statek</vt:lpstr>
      <vt:lpstr>Podpunkt5!statek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Zadrożny</dc:creator>
  <cp:lastModifiedBy>Julian Zadrożny</cp:lastModifiedBy>
  <dcterms:created xsi:type="dcterms:W3CDTF">2025-11-27T16:47:14Z</dcterms:created>
  <dcterms:modified xsi:type="dcterms:W3CDTF">2025-11-27T18:04:36Z</dcterms:modified>
</cp:coreProperties>
</file>